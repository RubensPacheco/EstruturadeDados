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uben\OneDrive\Área de Trabalho\Rubens\"/>
    </mc:Choice>
  </mc:AlternateContent>
  <bookViews>
    <workbookView xWindow="0" yWindow="0" windowWidth="21570" windowHeight="8145" activeTab="1"/>
  </bookViews>
  <sheets>
    <sheet name="DIÁRIO" sheetId="1" r:id="rId1"/>
    <sheet name="RESUMO" sheetId="2" r:id="rId2"/>
    <sheet name="Planilha1" sheetId="5" r:id="rId3"/>
    <sheet name="converter" sheetId="7" r:id="rId4"/>
    <sheet name="Planilha3" sheetId="8" r:id="rId5"/>
    <sheet name="HISTÓRICOO" sheetId="9" r:id="rId6"/>
    <sheet name="concurso deputados" sheetId="4" state="hidden" r:id="rId7"/>
  </sheets>
  <definedNames>
    <definedName name="_xlnm._FilterDatabase" localSheetId="0" hidden="1">DIÁRIO!$AJ$1:$AJ$33</definedName>
    <definedName name="_xlnm._FilterDatabase" localSheetId="1" hidden="1">RESUMO!$A$1:$O$36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" i="2" l="1"/>
  <c r="AE3" i="9" l="1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" i="9"/>
  <c r="AE5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F2" i="1" l="1"/>
  <c r="AC37" i="1" l="1"/>
  <c r="AD35" i="1" l="1"/>
  <c r="AD38" i="1"/>
  <c r="F20" i="2" s="1"/>
  <c r="AE2" i="1"/>
  <c r="AE29" i="1" l="1"/>
  <c r="AE28" i="1"/>
  <c r="AE27" i="1"/>
  <c r="AE26" i="1"/>
  <c r="AE25" i="1"/>
  <c r="AE24" i="1"/>
  <c r="AE23" i="1"/>
  <c r="AE22" i="1"/>
  <c r="AE21" i="1"/>
  <c r="AE20" i="1"/>
  <c r="E3" i="7" l="1"/>
  <c r="G3" i="7" s="1"/>
  <c r="F3" i="7"/>
  <c r="I3" i="7"/>
  <c r="E4" i="7"/>
  <c r="F4" i="7"/>
  <c r="I4" i="7" s="1"/>
  <c r="G4" i="7" l="1"/>
  <c r="F2" i="7"/>
  <c r="I2" i="7" s="1"/>
  <c r="E2" i="7"/>
  <c r="G2" i="7" l="1"/>
  <c r="B2" i="5" l="1"/>
  <c r="G35" i="1" l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C35" i="1"/>
  <c r="D35" i="1"/>
  <c r="E35" i="1"/>
  <c r="F35" i="1"/>
  <c r="B35" i="1"/>
  <c r="I1" i="2"/>
  <c r="AH2" i="1"/>
  <c r="AE4" i="1"/>
  <c r="C38" i="1"/>
  <c r="F3" i="2" s="1"/>
  <c r="D38" i="1"/>
  <c r="F4" i="2" s="1"/>
  <c r="E38" i="1"/>
  <c r="F5" i="2" s="1"/>
  <c r="F38" i="1"/>
  <c r="F6" i="2" s="1"/>
  <c r="G38" i="1"/>
  <c r="F7" i="2" s="1"/>
  <c r="H38" i="1"/>
  <c r="F8" i="2" s="1"/>
  <c r="I38" i="1"/>
  <c r="F9" i="2" s="1"/>
  <c r="J38" i="1"/>
  <c r="F10" i="2" s="1"/>
  <c r="K38" i="1"/>
  <c r="F11" i="2" s="1"/>
  <c r="L38" i="1"/>
  <c r="F12" i="2" s="1"/>
  <c r="M38" i="1"/>
  <c r="F13" i="2" s="1"/>
  <c r="N38" i="1"/>
  <c r="F24" i="2" s="1"/>
  <c r="O38" i="1"/>
  <c r="F14" i="2" s="1"/>
  <c r="P38" i="1"/>
  <c r="F15" i="2" s="1"/>
  <c r="Q38" i="1"/>
  <c r="F16" i="2" s="1"/>
  <c r="R38" i="1"/>
  <c r="F17" i="2" s="1"/>
  <c r="S38" i="1"/>
  <c r="F18" i="2" s="1"/>
  <c r="T38" i="1"/>
  <c r="F19" i="2" s="1"/>
  <c r="U38" i="1"/>
  <c r="F21" i="2" s="1"/>
  <c r="V38" i="1"/>
  <c r="F22" i="2" s="1"/>
  <c r="W38" i="1"/>
  <c r="F23" i="2" s="1"/>
  <c r="X38" i="1"/>
  <c r="F25" i="2" s="1"/>
  <c r="Y38" i="1"/>
  <c r="F26" i="2" s="1"/>
  <c r="Z38" i="1"/>
  <c r="F27" i="2" s="1"/>
  <c r="AA38" i="1"/>
  <c r="F28" i="2" s="1"/>
  <c r="AB38" i="1"/>
  <c r="F29" i="2" s="1"/>
  <c r="AC38" i="1"/>
  <c r="B38" i="1"/>
  <c r="F2" i="2" s="1"/>
  <c r="AE3" i="1"/>
  <c r="A3" i="1"/>
  <c r="AF3" i="1" s="1"/>
  <c r="AJ2" i="1"/>
  <c r="N1" i="2"/>
  <c r="AM2" i="1"/>
  <c r="K14" i="4"/>
  <c r="K13" i="4"/>
  <c r="K12" i="4"/>
  <c r="K11" i="4"/>
  <c r="K10" i="4"/>
  <c r="J10" i="4"/>
  <c r="I10" i="4"/>
  <c r="K9" i="4"/>
  <c r="K8" i="4"/>
  <c r="K7" i="4"/>
  <c r="K6" i="4"/>
  <c r="K5" i="4"/>
  <c r="K4" i="4"/>
  <c r="K3" i="4"/>
  <c r="K2" i="4"/>
  <c r="F3" i="4"/>
  <c r="H3" i="4" s="1"/>
  <c r="F4" i="4"/>
  <c r="H4" i="4" s="1"/>
  <c r="F5" i="4"/>
  <c r="H5" i="4" s="1"/>
  <c r="F6" i="4"/>
  <c r="H6" i="4" s="1"/>
  <c r="F7" i="4"/>
  <c r="H7" i="4" s="1"/>
  <c r="F8" i="4"/>
  <c r="F9" i="4"/>
  <c r="H9" i="4" s="1"/>
  <c r="F10" i="4"/>
  <c r="H10" i="4" s="1"/>
  <c r="F11" i="4"/>
  <c r="H11" i="4" s="1"/>
  <c r="F12" i="4"/>
  <c r="H12" i="4" s="1"/>
  <c r="F13" i="4"/>
  <c r="H13" i="4" s="1"/>
  <c r="F14" i="4"/>
  <c r="H14" i="4" s="1"/>
  <c r="F2" i="4"/>
  <c r="H2" i="4" s="1"/>
  <c r="C8" i="4"/>
  <c r="D3" i="2" l="1"/>
  <c r="D7" i="2"/>
  <c r="D11" i="2"/>
  <c r="D15" i="2"/>
  <c r="D19" i="2"/>
  <c r="D23" i="2"/>
  <c r="D27" i="2"/>
  <c r="D9" i="2"/>
  <c r="D17" i="2"/>
  <c r="D6" i="2"/>
  <c r="D10" i="2"/>
  <c r="D14" i="2"/>
  <c r="D18" i="2"/>
  <c r="D22" i="2"/>
  <c r="D26" i="2"/>
  <c r="D4" i="2"/>
  <c r="D8" i="2"/>
  <c r="D12" i="2"/>
  <c r="D16" i="2"/>
  <c r="D20" i="2"/>
  <c r="D24" i="2"/>
  <c r="D28" i="2"/>
  <c r="D5" i="2"/>
  <c r="D13" i="2"/>
  <c r="D21" i="2"/>
  <c r="D25" i="2"/>
  <c r="D29" i="2"/>
  <c r="D2" i="2"/>
  <c r="AH3" i="1"/>
  <c r="AM3" i="1"/>
  <c r="AL3" i="1"/>
  <c r="AG2" i="1"/>
  <c r="AG3" i="1" s="1"/>
  <c r="AL2" i="1"/>
  <c r="A4" i="1"/>
  <c r="AF4" i="1" s="1"/>
  <c r="AJ3" i="1"/>
  <c r="H8" i="4"/>
  <c r="AI3" i="1" l="1"/>
  <c r="AI2" i="1"/>
  <c r="AM4" i="1"/>
  <c r="AL4" i="1"/>
  <c r="A5" i="1"/>
  <c r="AF5" i="1" s="1"/>
  <c r="AH4" i="1"/>
  <c r="AG4" i="1"/>
  <c r="AJ4" i="1"/>
  <c r="AI4" i="1" l="1"/>
  <c r="AL5" i="1"/>
  <c r="AM5" i="1"/>
  <c r="A6" i="1"/>
  <c r="AF6" i="1" s="1"/>
  <c r="AH5" i="1"/>
  <c r="AG5" i="1"/>
  <c r="AJ5" i="1"/>
  <c r="AI5" i="1" l="1"/>
  <c r="AL6" i="1"/>
  <c r="AM6" i="1"/>
  <c r="A7" i="1"/>
  <c r="AF7" i="1" s="1"/>
  <c r="AH6" i="1"/>
  <c r="AG6" i="1"/>
  <c r="AJ6" i="1"/>
  <c r="AI6" i="1" l="1"/>
  <c r="AM7" i="1"/>
  <c r="AL7" i="1"/>
  <c r="A8" i="1"/>
  <c r="AF8" i="1" s="1"/>
  <c r="AH7" i="1"/>
  <c r="AJ7" i="1"/>
  <c r="AG7" i="1"/>
  <c r="AI7" i="1" l="1"/>
  <c r="A9" i="1"/>
  <c r="AF9" i="1" s="1"/>
  <c r="AH8" i="1"/>
  <c r="AH9" i="1" s="1"/>
  <c r="AL8" i="1"/>
  <c r="AJ8" i="1"/>
  <c r="AM8" i="1"/>
  <c r="AG8" i="1"/>
  <c r="A10" i="1" l="1"/>
  <c r="AF10" i="1" s="1"/>
  <c r="AM9" i="1"/>
  <c r="AJ9" i="1"/>
  <c r="AI8" i="1"/>
  <c r="AL9" i="1"/>
  <c r="AG9" i="1"/>
  <c r="AI9" i="1" s="1"/>
  <c r="A11" i="1"/>
  <c r="AF11" i="1" s="1"/>
  <c r="AJ10" i="1"/>
  <c r="AH10" i="1"/>
  <c r="AM10" i="1" l="1"/>
  <c r="AL10" i="1"/>
  <c r="AG10" i="1"/>
  <c r="AI10" i="1" s="1"/>
  <c r="AL11" i="1"/>
  <c r="A12" i="1"/>
  <c r="AF12" i="1" s="1"/>
  <c r="AJ11" i="1"/>
  <c r="AM11" i="1"/>
  <c r="AH11" i="1"/>
  <c r="AG11" i="1" l="1"/>
  <c r="AI11" i="1" s="1"/>
  <c r="A13" i="1"/>
  <c r="AF13" i="1" s="1"/>
  <c r="AL12" i="1"/>
  <c r="AJ12" i="1"/>
  <c r="AH12" i="1"/>
  <c r="AM12" i="1"/>
  <c r="AG12" i="1" l="1"/>
  <c r="AI12" i="1" s="1"/>
  <c r="A14" i="1"/>
  <c r="AF14" i="1" s="1"/>
  <c r="AL13" i="1"/>
  <c r="AJ13" i="1"/>
  <c r="AH13" i="1"/>
  <c r="AM13" i="1"/>
  <c r="AG13" i="1" l="1"/>
  <c r="AI13" i="1" s="1"/>
  <c r="AM14" i="1"/>
  <c r="AJ14" i="1"/>
  <c r="AH14" i="1"/>
  <c r="AL14" i="1"/>
  <c r="A15" i="1"/>
  <c r="AF15" i="1" s="1"/>
  <c r="AG14" i="1" l="1"/>
  <c r="AI14" i="1" s="1"/>
  <c r="AL15" i="1"/>
  <c r="A16" i="1"/>
  <c r="AF16" i="1" s="1"/>
  <c r="AH15" i="1"/>
  <c r="AJ15" i="1"/>
  <c r="AM15" i="1"/>
  <c r="AG15" i="1" l="1"/>
  <c r="AI15" i="1" s="1"/>
  <c r="AJ16" i="1"/>
  <c r="AM16" i="1"/>
  <c r="AH16" i="1"/>
  <c r="A17" i="1"/>
  <c r="AF17" i="1" s="1"/>
  <c r="AL16" i="1"/>
  <c r="AG16" i="1" l="1"/>
  <c r="AI16" i="1" s="1"/>
  <c r="A18" i="1"/>
  <c r="AF18" i="1" s="1"/>
  <c r="AL17" i="1"/>
  <c r="AH17" i="1"/>
  <c r="AM17" i="1"/>
  <c r="AJ17" i="1"/>
  <c r="AG17" i="1" l="1"/>
  <c r="AI17" i="1" s="1"/>
  <c r="AM18" i="1"/>
  <c r="AJ18" i="1"/>
  <c r="AH18" i="1"/>
  <c r="AL18" i="1"/>
  <c r="A19" i="1"/>
  <c r="AF19" i="1" s="1"/>
  <c r="AG18" i="1" l="1"/>
  <c r="AI18" i="1" s="1"/>
  <c r="AL19" i="1"/>
  <c r="A20" i="1"/>
  <c r="AF20" i="1" s="1"/>
  <c r="AJ19" i="1"/>
  <c r="AM19" i="1"/>
  <c r="AH19" i="1"/>
  <c r="AG19" i="1" l="1"/>
  <c r="AI19" i="1" s="1"/>
  <c r="AJ20" i="1"/>
  <c r="AM20" i="1"/>
  <c r="AH20" i="1"/>
  <c r="A21" i="1"/>
  <c r="AF21" i="1" s="1"/>
  <c r="AL20" i="1"/>
  <c r="AG20" i="1" l="1"/>
  <c r="AI20" i="1" s="1"/>
  <c r="AH21" i="1"/>
  <c r="AJ21" i="1"/>
  <c r="A22" i="1"/>
  <c r="AF22" i="1" s="1"/>
  <c r="AL21" i="1"/>
  <c r="AM21" i="1"/>
  <c r="AG21" i="1" l="1"/>
  <c r="AI21" i="1" s="1"/>
  <c r="AM22" i="1"/>
  <c r="AJ22" i="1"/>
  <c r="AL22" i="1"/>
  <c r="A23" i="1"/>
  <c r="AF23" i="1" s="1"/>
  <c r="AH22" i="1"/>
  <c r="AG22" i="1" l="1"/>
  <c r="AI22" i="1" s="1"/>
  <c r="AL23" i="1"/>
  <c r="A24" i="1"/>
  <c r="AF24" i="1" s="1"/>
  <c r="AJ23" i="1"/>
  <c r="AM23" i="1"/>
  <c r="AH23" i="1"/>
  <c r="AG23" i="1" l="1"/>
  <c r="AI23" i="1" s="1"/>
  <c r="AJ24" i="1"/>
  <c r="AM24" i="1"/>
  <c r="AH24" i="1"/>
  <c r="A25" i="1"/>
  <c r="AF25" i="1" s="1"/>
  <c r="AL24" i="1"/>
  <c r="AG24" i="1" l="1"/>
  <c r="AI24" i="1" s="1"/>
  <c r="A26" i="1"/>
  <c r="AL25" i="1"/>
  <c r="AM25" i="1"/>
  <c r="AJ25" i="1"/>
  <c r="AH25" i="1"/>
  <c r="A27" i="1" l="1"/>
  <c r="AF27" i="1" s="1"/>
  <c r="AF26" i="1"/>
  <c r="AG25" i="1"/>
  <c r="AI25" i="1" s="1"/>
  <c r="A28" i="1"/>
  <c r="AF28" i="1" s="1"/>
  <c r="AJ27" i="1"/>
  <c r="AL26" i="1"/>
  <c r="AM26" i="1"/>
  <c r="AJ26" i="1"/>
  <c r="AM27" i="1" l="1"/>
  <c r="AL27" i="1"/>
  <c r="AG26" i="1"/>
  <c r="A29" i="1"/>
  <c r="AF29" i="1" s="1"/>
  <c r="AL28" i="1"/>
  <c r="AJ28" i="1"/>
  <c r="AM28" i="1"/>
  <c r="AH26" i="1"/>
  <c r="AI26" i="1" l="1"/>
  <c r="AG27" i="1"/>
  <c r="AH27" i="1"/>
  <c r="AM29" i="1"/>
  <c r="AV1" i="1" s="1"/>
  <c r="AJ29" i="1"/>
  <c r="O1" i="2"/>
  <c r="AL29" i="1"/>
  <c r="AR1" i="1" s="1"/>
  <c r="E5" i="2" l="1"/>
  <c r="E9" i="2"/>
  <c r="E13" i="2"/>
  <c r="E17" i="2"/>
  <c r="E21" i="2"/>
  <c r="E25" i="2"/>
  <c r="E29" i="2"/>
  <c r="E6" i="2"/>
  <c r="E10" i="2"/>
  <c r="E14" i="2"/>
  <c r="E18" i="2"/>
  <c r="E22" i="2"/>
  <c r="E26" i="2"/>
  <c r="E7" i="2"/>
  <c r="E15" i="2"/>
  <c r="E27" i="2"/>
  <c r="E3" i="2"/>
  <c r="E23" i="2"/>
  <c r="E4" i="2"/>
  <c r="E8" i="2"/>
  <c r="E12" i="2"/>
  <c r="E16" i="2"/>
  <c r="E20" i="2"/>
  <c r="E24" i="2"/>
  <c r="E28" i="2"/>
  <c r="E11" i="2"/>
  <c r="E19" i="2"/>
  <c r="AI27" i="1"/>
  <c r="AG28" i="1"/>
  <c r="AH28" i="1"/>
  <c r="AD39" i="1"/>
  <c r="E2" i="2"/>
  <c r="I2" i="2" s="1"/>
  <c r="AS1" i="1"/>
  <c r="AL1" i="1" s="1"/>
  <c r="AU1" i="1"/>
  <c r="AM1" i="1" s="1"/>
  <c r="I24" i="2" l="1"/>
  <c r="G24" i="2"/>
  <c r="I8" i="2"/>
  <c r="G8" i="2"/>
  <c r="I27" i="2"/>
  <c r="G27" i="2"/>
  <c r="G22" i="2"/>
  <c r="I22" i="2"/>
  <c r="G6" i="2"/>
  <c r="I6" i="2"/>
  <c r="I17" i="2"/>
  <c r="G17" i="2"/>
  <c r="I20" i="2"/>
  <c r="G20" i="2"/>
  <c r="I15" i="2"/>
  <c r="G15" i="2"/>
  <c r="I13" i="2"/>
  <c r="G13" i="2"/>
  <c r="I4" i="2"/>
  <c r="G4" i="2"/>
  <c r="G18" i="2"/>
  <c r="I18" i="2"/>
  <c r="I11" i="2"/>
  <c r="G11" i="2"/>
  <c r="I16" i="2"/>
  <c r="G16" i="2"/>
  <c r="I23" i="2"/>
  <c r="G23" i="2"/>
  <c r="I7" i="2"/>
  <c r="G7" i="2"/>
  <c r="I14" i="2"/>
  <c r="G14" i="2"/>
  <c r="I25" i="2"/>
  <c r="G25" i="2"/>
  <c r="I9" i="2"/>
  <c r="G9" i="2"/>
  <c r="I19" i="2"/>
  <c r="G19" i="2"/>
  <c r="I29" i="2"/>
  <c r="G29" i="2"/>
  <c r="I28" i="2"/>
  <c r="G28" i="2"/>
  <c r="I12" i="2"/>
  <c r="G12" i="2"/>
  <c r="I3" i="2"/>
  <c r="G3" i="2"/>
  <c r="I26" i="2"/>
  <c r="G26" i="2"/>
  <c r="I10" i="2"/>
  <c r="G10" i="2"/>
  <c r="I21" i="2"/>
  <c r="G21" i="2"/>
  <c r="I5" i="2"/>
  <c r="G5" i="2"/>
  <c r="AG29" i="1"/>
  <c r="AK1" i="1" s="1"/>
  <c r="AI28" i="1"/>
  <c r="AH29" i="1"/>
  <c r="J39" i="1"/>
  <c r="J40" i="1" s="1"/>
  <c r="D39" i="1"/>
  <c r="D40" i="1" s="1"/>
  <c r="N39" i="1"/>
  <c r="N40" i="1" s="1"/>
  <c r="AA39" i="1"/>
  <c r="AA40" i="1" s="1"/>
  <c r="T39" i="1"/>
  <c r="T40" i="1" s="1"/>
  <c r="Y39" i="1"/>
  <c r="Y40" i="1" s="1"/>
  <c r="E39" i="1"/>
  <c r="E40" i="1" s="1"/>
  <c r="M39" i="1"/>
  <c r="M40" i="1" s="1"/>
  <c r="X39" i="1"/>
  <c r="X40" i="1" s="1"/>
  <c r="K39" i="1"/>
  <c r="K40" i="1" s="1"/>
  <c r="I39" i="1"/>
  <c r="I40" i="1" s="1"/>
  <c r="H39" i="1"/>
  <c r="H40" i="1" s="1"/>
  <c r="AB39" i="1"/>
  <c r="AB40" i="1" s="1"/>
  <c r="C39" i="1"/>
  <c r="C40" i="1" s="1"/>
  <c r="G39" i="1"/>
  <c r="G40" i="1" s="1"/>
  <c r="S39" i="1"/>
  <c r="S40" i="1" s="1"/>
  <c r="V39" i="1"/>
  <c r="V40" i="1" s="1"/>
  <c r="Z39" i="1"/>
  <c r="Z40" i="1" s="1"/>
  <c r="P39" i="1"/>
  <c r="P40" i="1" s="1"/>
  <c r="Q39" i="1"/>
  <c r="Q40" i="1" s="1"/>
  <c r="O39" i="1"/>
  <c r="O40" i="1" s="1"/>
  <c r="R39" i="1"/>
  <c r="R40" i="1" s="1"/>
  <c r="L39" i="1"/>
  <c r="L40" i="1" s="1"/>
  <c r="G2" i="2"/>
  <c r="B39" i="1"/>
  <c r="B40" i="1" s="1"/>
  <c r="W39" i="1"/>
  <c r="W40" i="1" s="1"/>
  <c r="F39" i="1"/>
  <c r="F40" i="1" s="1"/>
  <c r="AC39" i="1"/>
  <c r="AC40" i="1" s="1"/>
  <c r="U39" i="1"/>
  <c r="U40" i="1" s="1"/>
  <c r="H18" i="2" l="1"/>
  <c r="H27" i="2"/>
  <c r="H11" i="2"/>
  <c r="K37" i="1" s="1"/>
  <c r="H14" i="2"/>
  <c r="H25" i="2"/>
  <c r="H9" i="2"/>
  <c r="H20" i="2"/>
  <c r="AD37" i="1" s="1"/>
  <c r="H4" i="2"/>
  <c r="D37" i="1" s="1"/>
  <c r="H23" i="2"/>
  <c r="H7" i="2"/>
  <c r="G37" i="1" s="1"/>
  <c r="H10" i="2"/>
  <c r="J37" i="1" s="1"/>
  <c r="H21" i="2"/>
  <c r="U37" i="1" s="1"/>
  <c r="H5" i="2"/>
  <c r="H6" i="2"/>
  <c r="H19" i="2"/>
  <c r="T37" i="1" s="1"/>
  <c r="H3" i="2"/>
  <c r="C37" i="1" s="1"/>
  <c r="H22" i="2"/>
  <c r="H17" i="2"/>
  <c r="R37" i="1" s="1"/>
  <c r="H28" i="2"/>
  <c r="AA37" i="1" s="1"/>
  <c r="H12" i="2"/>
  <c r="L37" i="1" s="1"/>
  <c r="H15" i="2"/>
  <c r="H29" i="2"/>
  <c r="H24" i="2"/>
  <c r="H16" i="2"/>
  <c r="Q37" i="1" s="1"/>
  <c r="H26" i="2"/>
  <c r="H13" i="2"/>
  <c r="H8" i="2"/>
  <c r="H37" i="1" s="1"/>
  <c r="AI29" i="1"/>
  <c r="S37" i="1"/>
  <c r="V37" i="1"/>
  <c r="I37" i="1"/>
  <c r="AB37" i="1"/>
  <c r="Z37" i="1"/>
  <c r="Y37" i="1"/>
  <c r="P37" i="1"/>
  <c r="F37" i="1"/>
  <c r="E37" i="1"/>
  <c r="X37" i="1"/>
  <c r="J1" i="2"/>
  <c r="K1" i="2"/>
  <c r="H2" i="2"/>
  <c r="B37" i="1" s="1"/>
  <c r="O37" i="1" l="1"/>
  <c r="M37" i="1"/>
  <c r="W37" i="1"/>
  <c r="N37" i="1"/>
  <c r="Q1" i="2"/>
  <c r="M1" i="2"/>
</calcChain>
</file>

<file path=xl/sharedStrings.xml><?xml version="1.0" encoding="utf-8"?>
<sst xmlns="http://schemas.openxmlformats.org/spreadsheetml/2006/main" count="143" uniqueCount="66">
  <si>
    <t>DATA</t>
  </si>
  <si>
    <t>ADMINISTRAÇÃO GERAL</t>
  </si>
  <si>
    <t>ADMINISTRAÇÃO ORÇAMENTÁRIA E FINANCEIRA</t>
  </si>
  <si>
    <t>ADMINISTRAÇÃO PÚBLICA</t>
  </si>
  <si>
    <t>Administração Pública Federal</t>
  </si>
  <si>
    <t>CIÊNCIA POLÍTICA</t>
  </si>
  <si>
    <t>CÓDIGO DE ÉTICA</t>
  </si>
  <si>
    <t>Desafios do estado de Direito: Democracia e cidadania</t>
  </si>
  <si>
    <t>DIREITO ADMINISTRATIVO</t>
  </si>
  <si>
    <t>DIREITO CONSTITUCIONAL</t>
  </si>
  <si>
    <t>Diversidade e Inclusão na Sociedade</t>
  </si>
  <si>
    <t>Eixo Temático 1 – Gestão Governamental e Governança Pública</t>
  </si>
  <si>
    <t>Eixo temático 2 – Políticas Públicas</t>
  </si>
  <si>
    <t>Eixo Temático 4 – Segurança e Saúde do Trabalhador e da Trabalhadora</t>
  </si>
  <si>
    <t>Eixo Temático 5 – Direito do Trabalho</t>
  </si>
  <si>
    <t>Ética e Integridade</t>
  </si>
  <si>
    <t>Finanças Públicas</t>
  </si>
  <si>
    <t>INFORMÁTICA E DADOS</t>
  </si>
  <si>
    <t>Inteligência Emocional</t>
  </si>
  <si>
    <t>LÍNGUA INGLESA</t>
  </si>
  <si>
    <t>LÍNGUA PORTUGUESA</t>
  </si>
  <si>
    <t>Políticas Públicas</t>
  </si>
  <si>
    <t>Projeto 80/20 - Sprint Final</t>
  </si>
  <si>
    <t>Prova Discursiva</t>
  </si>
  <si>
    <t>RACIOCÍNIO LÓGICO</t>
  </si>
  <si>
    <t>REGIMENTO COMUM CONGRESSO NACIONAL</t>
  </si>
  <si>
    <t>REGIMENTO INTERNO CÂMARA DOS DEPUTADOS</t>
  </si>
  <si>
    <t>Treinamento Intensivo</t>
  </si>
  <si>
    <t>TOTAL</t>
  </si>
  <si>
    <t>ESPERADO</t>
  </si>
  <si>
    <t>ACUMULADO
REAL</t>
  </si>
  <si>
    <t>ACUMULADO
ESPERADO</t>
  </si>
  <si>
    <t>SALDO</t>
  </si>
  <si>
    <t>QUE DIA</t>
  </si>
  <si>
    <t>EXCEDE</t>
  </si>
  <si>
    <t/>
  </si>
  <si>
    <t>ORDEM</t>
  </si>
  <si>
    <t>MATÉRIA</t>
  </si>
  <si>
    <t>PESO CNU</t>
  </si>
  <si>
    <t>%</t>
  </si>
  <si>
    <t>VALOR TOTAL</t>
  </si>
  <si>
    <t>TOTAL ESTUDADO</t>
  </si>
  <si>
    <t>FALTA</t>
  </si>
  <si>
    <t>PRIORIDADE</t>
  </si>
  <si>
    <t>MÍNIMO PARA ESTUDAR</t>
  </si>
  <si>
    <t>% EM 16/01/24</t>
  </si>
  <si>
    <t>falta</t>
  </si>
  <si>
    <t>dias</t>
  </si>
  <si>
    <t>item</t>
  </si>
  <si>
    <t>DESCRIÇÃO DA MATÉRIA</t>
  </si>
  <si>
    <t>acerto mínimo</t>
  </si>
  <si>
    <t>quantidade de questões</t>
  </si>
  <si>
    <t>acertos</t>
  </si>
  <si>
    <t>% de acerto</t>
  </si>
  <si>
    <t>DOMÍNIO PRÉVIO</t>
  </si>
  <si>
    <t>fator multiplicador</t>
  </si>
  <si>
    <t>% estudado 31/12</t>
  </si>
  <si>
    <t>% estudado 25/12</t>
  </si>
  <si>
    <t>progresso</t>
  </si>
  <si>
    <t>Introdução</t>
  </si>
  <si>
    <t>Prof. Gustavo Scatolino</t>
  </si>
  <si>
    <t>Introdução II</t>
  </si>
  <si>
    <t>Introdução III</t>
  </si>
  <si>
    <t>Licitações</t>
  </si>
  <si>
    <t>PROGRAMAÇÃO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</si>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</sst>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-* #,##0.0_-;\-* #,##0.0_-;_-* &quot;-&quot;??_-;_-@_-"/>
    <numFmt numFmtId="165" formatCode="_-* #,##0.000_-;\-* #,##0.000_-;_-* &quot;-&quot;??_-;_-@_-"/>
    <numFmt numFmtId="166" formatCode="dd/mm/yy;@"/>
    <numFmt numFmtId="167" formatCode="h:mm:ss;@"/>
    <numFmt numFmtId="168" formatCode="[$-F400]h:mm:ss\ AM/PM"/>
    <numFmt numFmtId="169" formatCode="_-* #,##0.00000_-;\-* #,##0.00000_-;_-* &quot;-&quot;??_-;_-@_-"/>
    <numFmt numFmtId="170" formatCode="_-* #,##0.0000_-;\-* #,##0.00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sz val="18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164" fontId="0" fillId="0" borderId="0" xfId="1" applyNumberFormat="1" applyFont="1" applyFill="1" applyAlignment="1">
      <alignment horizontal="left"/>
    </xf>
    <xf numFmtId="9" fontId="0" fillId="0" borderId="0" xfId="2" applyFont="1" applyAlignment="1">
      <alignment horizontal="left"/>
    </xf>
    <xf numFmtId="9" fontId="0" fillId="0" borderId="0" xfId="2" applyFont="1" applyAlignment="1">
      <alignment horizontal="right"/>
    </xf>
    <xf numFmtId="9" fontId="0" fillId="0" borderId="0" xfId="1" applyNumberFormat="1" applyFont="1" applyAlignment="1">
      <alignment horizontal="right"/>
    </xf>
    <xf numFmtId="9" fontId="2" fillId="0" borderId="0" xfId="2" applyFont="1"/>
    <xf numFmtId="165" fontId="2" fillId="0" borderId="0" xfId="1" applyNumberFormat="1" applyFont="1"/>
    <xf numFmtId="14" fontId="1" fillId="0" borderId="0" xfId="1" applyNumberFormat="1" applyFont="1" applyFill="1" applyBorder="1" applyAlignment="1">
      <alignment horizontal="center" vertical="top" wrapText="1"/>
    </xf>
    <xf numFmtId="164" fontId="1" fillId="0" borderId="0" xfId="1" applyNumberFormat="1" applyFont="1" applyFill="1" applyBorder="1" applyAlignment="1">
      <alignment horizontal="center" vertical="top" wrapText="1"/>
    </xf>
    <xf numFmtId="166" fontId="5" fillId="0" borderId="0" xfId="1" applyNumberFormat="1" applyFont="1" applyFill="1" applyBorder="1" applyAlignment="1">
      <alignment horizontal="center" vertical="top"/>
    </xf>
    <xf numFmtId="167" fontId="5" fillId="0" borderId="0" xfId="1" applyNumberFormat="1" applyFont="1" applyFill="1" applyBorder="1" applyAlignment="1">
      <alignment horizontal="center" vertical="top"/>
    </xf>
    <xf numFmtId="43" fontId="5" fillId="0" borderId="0" xfId="1" applyFont="1" applyFill="1" applyBorder="1" applyAlignment="1">
      <alignment horizontal="center" vertical="top"/>
    </xf>
    <xf numFmtId="164" fontId="5" fillId="0" borderId="0" xfId="1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14" fontId="5" fillId="0" borderId="0" xfId="1" applyNumberFormat="1" applyFont="1" applyFill="1" applyBorder="1" applyAlignment="1">
      <alignment horizontal="center" vertical="top"/>
    </xf>
    <xf numFmtId="43" fontId="4" fillId="0" borderId="0" xfId="1" applyFont="1" applyFill="1" applyBorder="1" applyAlignment="1">
      <alignment horizontal="center" vertical="top" wrapText="1"/>
    </xf>
    <xf numFmtId="43" fontId="8" fillId="0" borderId="0" xfId="1" applyFont="1" applyFill="1" applyBorder="1" applyAlignment="1">
      <alignment horizontal="center" vertical="top" wrapText="1"/>
    </xf>
    <xf numFmtId="166" fontId="5" fillId="0" borderId="0" xfId="1" applyNumberFormat="1" applyFont="1" applyFill="1" applyBorder="1" applyAlignment="1">
      <alignment horizontal="center" vertical="top" wrapText="1"/>
    </xf>
    <xf numFmtId="166" fontId="6" fillId="4" borderId="0" xfId="1" applyNumberFormat="1" applyFont="1" applyFill="1" applyBorder="1" applyAlignment="1">
      <alignment horizontal="center" vertical="top"/>
    </xf>
    <xf numFmtId="167" fontId="6" fillId="4" borderId="0" xfId="1" applyNumberFormat="1" applyFont="1" applyFill="1" applyBorder="1" applyAlignment="1">
      <alignment horizontal="center" vertical="top"/>
    </xf>
    <xf numFmtId="14" fontId="10" fillId="0" borderId="0" xfId="1" applyNumberFormat="1" applyFont="1" applyFill="1" applyBorder="1" applyAlignment="1">
      <alignment horizontal="center" vertical="top" wrapText="1"/>
    </xf>
    <xf numFmtId="43" fontId="10" fillId="0" borderId="0" xfId="1" applyFont="1" applyFill="1" applyBorder="1" applyAlignment="1">
      <alignment horizontal="center" vertical="top" wrapText="1"/>
    </xf>
    <xf numFmtId="167" fontId="10" fillId="0" borderId="0" xfId="1" applyNumberFormat="1" applyFont="1" applyFill="1" applyBorder="1" applyAlignment="1">
      <alignment horizontal="center" vertical="top" wrapText="1"/>
    </xf>
    <xf numFmtId="0" fontId="11" fillId="0" borderId="0" xfId="0" applyFont="1"/>
    <xf numFmtId="14" fontId="11" fillId="0" borderId="0" xfId="0" applyNumberFormat="1" applyFont="1"/>
    <xf numFmtId="168" fontId="1" fillId="0" borderId="0" xfId="1" applyNumberFormat="1" applyFont="1" applyFill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167" fontId="4" fillId="0" borderId="0" xfId="1" applyNumberFormat="1" applyFont="1" applyFill="1" applyBorder="1" applyAlignment="1">
      <alignment horizontal="center" vertical="top" wrapText="1"/>
    </xf>
    <xf numFmtId="14" fontId="3" fillId="4" borderId="0" xfId="1" applyNumberFormat="1" applyFont="1" applyFill="1" applyBorder="1" applyAlignment="1">
      <alignment horizontal="center" vertical="top"/>
    </xf>
    <xf numFmtId="0" fontId="3" fillId="4" borderId="0" xfId="0" applyFont="1" applyFill="1" applyAlignment="1">
      <alignment horizontal="center" vertical="top"/>
    </xf>
    <xf numFmtId="164" fontId="3" fillId="4" borderId="0" xfId="1" applyNumberFormat="1" applyFont="1" applyFill="1" applyBorder="1" applyAlignment="1">
      <alignment horizontal="center" vertical="top"/>
    </xf>
    <xf numFmtId="164" fontId="3" fillId="0" borderId="0" xfId="1" applyNumberFormat="1" applyFont="1" applyFill="1" applyBorder="1" applyAlignment="1">
      <alignment horizontal="center" vertical="top"/>
    </xf>
    <xf numFmtId="168" fontId="3" fillId="0" borderId="0" xfId="1" applyNumberFormat="1" applyFont="1" applyFill="1" applyBorder="1" applyAlignment="1">
      <alignment horizontal="center" vertical="top"/>
    </xf>
    <xf numFmtId="167" fontId="3" fillId="0" borderId="0" xfId="1" applyNumberFormat="1" applyFont="1" applyFill="1" applyBorder="1" applyAlignment="1">
      <alignment horizontal="center" vertical="top"/>
    </xf>
    <xf numFmtId="168" fontId="10" fillId="0" borderId="0" xfId="1" applyNumberFormat="1" applyFont="1" applyFill="1" applyBorder="1" applyAlignment="1">
      <alignment horizontal="center" vertical="top"/>
    </xf>
    <xf numFmtId="14" fontId="1" fillId="0" borderId="0" xfId="1" applyNumberFormat="1" applyFont="1" applyFill="1" applyBorder="1" applyAlignment="1">
      <alignment horizontal="center" vertical="top"/>
    </xf>
    <xf numFmtId="164" fontId="1" fillId="0" borderId="0" xfId="1" applyNumberFormat="1" applyFont="1" applyFill="1" applyBorder="1" applyAlignment="1">
      <alignment horizontal="center" vertical="top"/>
    </xf>
    <xf numFmtId="168" fontId="1" fillId="0" borderId="0" xfId="1" applyNumberFormat="1" applyFont="1" applyFill="1" applyBorder="1" applyAlignment="1">
      <alignment horizontal="center" vertical="top"/>
    </xf>
    <xf numFmtId="14" fontId="1" fillId="3" borderId="0" xfId="1" applyNumberFormat="1" applyFont="1" applyFill="1" applyBorder="1" applyAlignment="1">
      <alignment horizontal="center" vertical="top"/>
    </xf>
    <xf numFmtId="43" fontId="1" fillId="3" borderId="0" xfId="1" applyFont="1" applyFill="1" applyBorder="1" applyAlignment="1">
      <alignment horizontal="center" vertical="top"/>
    </xf>
    <xf numFmtId="164" fontId="1" fillId="3" borderId="0" xfId="1" applyNumberFormat="1" applyFont="1" applyFill="1" applyBorder="1" applyAlignment="1">
      <alignment horizontal="center" vertical="top"/>
    </xf>
    <xf numFmtId="164" fontId="4" fillId="3" borderId="0" xfId="1" applyNumberFormat="1" applyFont="1" applyFill="1" applyBorder="1" applyAlignment="1">
      <alignment horizontal="center" vertical="top"/>
    </xf>
    <xf numFmtId="1" fontId="1" fillId="0" borderId="0" xfId="1" applyNumberFormat="1" applyFont="1" applyFill="1" applyBorder="1" applyAlignment="1">
      <alignment horizontal="center" vertical="top"/>
    </xf>
    <xf numFmtId="1" fontId="4" fillId="0" borderId="0" xfId="1" applyNumberFormat="1" applyFont="1" applyFill="1" applyBorder="1" applyAlignment="1">
      <alignment horizontal="center" vertical="top"/>
    </xf>
    <xf numFmtId="0" fontId="1" fillId="0" borderId="0" xfId="1" applyNumberFormat="1" applyFont="1" applyFill="1" applyBorder="1" applyAlignment="1">
      <alignment horizontal="center" vertical="top"/>
    </xf>
    <xf numFmtId="167" fontId="1" fillId="0" borderId="0" xfId="1" applyNumberFormat="1" applyFont="1" applyFill="1" applyBorder="1" applyAlignment="1">
      <alignment horizontal="center" vertical="top"/>
    </xf>
    <xf numFmtId="167" fontId="8" fillId="0" borderId="0" xfId="1" applyNumberFormat="1" applyFont="1" applyFill="1" applyBorder="1" applyAlignment="1">
      <alignment horizontal="center" vertical="top"/>
    </xf>
    <xf numFmtId="43" fontId="1" fillId="0" borderId="0" xfId="1" applyFont="1" applyFill="1" applyBorder="1" applyAlignment="1">
      <alignment horizontal="center" vertical="top"/>
    </xf>
    <xf numFmtId="166" fontId="9" fillId="0" borderId="0" xfId="1" applyNumberFormat="1" applyFont="1" applyFill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 wrapText="1"/>
    </xf>
    <xf numFmtId="14" fontId="9" fillId="0" borderId="0" xfId="1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10" fontId="7" fillId="0" borderId="0" xfId="2" applyNumberFormat="1" applyFont="1" applyFill="1" applyBorder="1" applyAlignment="1">
      <alignment horizontal="center" vertical="top"/>
    </xf>
    <xf numFmtId="167" fontId="7" fillId="0" borderId="0" xfId="1" applyNumberFormat="1" applyFont="1" applyFill="1" applyBorder="1" applyAlignment="1">
      <alignment horizontal="center" vertical="top"/>
    </xf>
    <xf numFmtId="164" fontId="7" fillId="0" borderId="0" xfId="1" applyNumberFormat="1" applyFont="1" applyFill="1" applyBorder="1" applyAlignment="1">
      <alignment horizontal="center" vertical="top"/>
    </xf>
    <xf numFmtId="169" fontId="7" fillId="0" borderId="0" xfId="1" applyNumberFormat="1" applyFont="1" applyFill="1" applyBorder="1" applyAlignment="1">
      <alignment horizontal="center" vertical="top"/>
    </xf>
    <xf numFmtId="0" fontId="9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5" fillId="0" borderId="0" xfId="0" applyFont="1" applyAlignment="1">
      <alignment vertical="top"/>
    </xf>
    <xf numFmtId="164" fontId="10" fillId="0" borderId="0" xfId="1" applyNumberFormat="1" applyFont="1" applyFill="1" applyBorder="1" applyAlignment="1">
      <alignment horizontal="center" vertical="top"/>
    </xf>
    <xf numFmtId="1" fontId="0" fillId="0" borderId="0" xfId="1" applyNumberFormat="1" applyFont="1" applyFill="1" applyBorder="1" applyAlignment="1">
      <alignment horizontal="center" vertical="top"/>
    </xf>
    <xf numFmtId="164" fontId="1" fillId="5" borderId="0" xfId="1" applyNumberFormat="1" applyFont="1" applyFill="1" applyBorder="1" applyAlignment="1">
      <alignment horizontal="center" vertical="top"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21" fontId="0" fillId="0" borderId="2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21" fontId="0" fillId="0" borderId="4" xfId="0" applyNumberFormat="1" applyBorder="1" applyAlignment="1">
      <alignment vertical="center" wrapText="1"/>
    </xf>
    <xf numFmtId="0" fontId="0" fillId="0" borderId="0" xfId="0" applyBorder="1"/>
    <xf numFmtId="170" fontId="5" fillId="0" borderId="0" xfId="1" applyNumberFormat="1" applyFont="1" applyFill="1" applyBorder="1" applyAlignment="1">
      <alignment horizontal="center" vertical="top"/>
    </xf>
    <xf numFmtId="170" fontId="7" fillId="0" borderId="0" xfId="1" applyNumberFormat="1" applyFont="1" applyFill="1" applyBorder="1" applyAlignment="1">
      <alignment horizontal="center" vertical="top"/>
    </xf>
    <xf numFmtId="170" fontId="9" fillId="0" borderId="0" xfId="1" applyNumberFormat="1" applyFont="1" applyFill="1" applyBorder="1" applyAlignment="1">
      <alignment horizontal="center" vertical="top"/>
    </xf>
    <xf numFmtId="168" fontId="0" fillId="0" borderId="0" xfId="0" applyNumberFormat="1" applyAlignment="1">
      <alignment horizontal="center"/>
    </xf>
    <xf numFmtId="168" fontId="0" fillId="3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2">
    <dxf>
      <fill>
        <patternFill>
          <bgColor rgb="FFFFFF0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0</xdr:row>
          <xdr:rowOff>19050</xdr:rowOff>
        </xdr:from>
        <xdr:to>
          <xdr:col>11</xdr:col>
          <xdr:colOff>1314450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 filterMode="1"/>
  <dimension ref="A1:AX47"/>
  <sheetViews>
    <sheetView zoomScaleNormal="100" workbookViewId="0">
      <pane xSplit="1" topLeftCell="J1" activePane="topRight" state="frozen"/>
      <selection pane="topRight" activeCell="N5" sqref="N5"/>
    </sheetView>
  </sheetViews>
  <sheetFormatPr defaultColWidth="3" defaultRowHeight="15" x14ac:dyDescent="0.25"/>
  <cols>
    <col min="1" max="1" width="10.7109375" style="40" bestFit="1" customWidth="1"/>
    <col min="2" max="2" width="22.5703125" style="40" hidden="1" customWidth="1"/>
    <col min="3" max="3" width="44.85546875" style="52" hidden="1" customWidth="1"/>
    <col min="4" max="4" width="24.42578125" style="52" hidden="1" customWidth="1"/>
    <col min="5" max="5" width="28.28515625" style="41" hidden="1" customWidth="1"/>
    <col min="6" max="6" width="16.7109375" style="41" hidden="1" customWidth="1"/>
    <col min="7" max="7" width="16.42578125" style="41" hidden="1" customWidth="1"/>
    <col min="8" max="8" width="50" style="41" hidden="1" customWidth="1"/>
    <col min="9" max="10" width="24.42578125" style="41" hidden="1" customWidth="1"/>
    <col min="11" max="11" width="33.85546875" style="41" hidden="1" customWidth="1"/>
    <col min="12" max="12" width="57.7109375" style="41" hidden="1" customWidth="1"/>
    <col min="13" max="13" width="32" style="41" hidden="1" customWidth="1"/>
    <col min="14" max="14" width="15.42578125" style="41" customWidth="1"/>
    <col min="15" max="15" width="64.7109375" style="41" hidden="1" customWidth="1"/>
    <col min="16" max="16" width="34.42578125" style="41" hidden="1" customWidth="1"/>
    <col min="17" max="17" width="17.7109375" style="41" hidden="1" customWidth="1"/>
    <col min="18" max="18" width="16.42578125" style="41" hidden="1" customWidth="1"/>
    <col min="19" max="19" width="22.140625" style="41" hidden="1" customWidth="1"/>
    <col min="20" max="20" width="21.42578125" style="41" hidden="1" customWidth="1"/>
    <col min="21" max="21" width="15.7109375" style="41" hidden="1" customWidth="1"/>
    <col min="22" max="22" width="20.28515625" style="41" hidden="1" customWidth="1"/>
    <col min="23" max="23" width="16.140625" style="41" hidden="1" customWidth="1"/>
    <col min="24" max="24" width="24.85546875" style="41" hidden="1" customWidth="1"/>
    <col min="25" max="25" width="15.42578125" style="41" hidden="1" customWidth="1"/>
    <col min="26" max="26" width="19.140625" style="41" hidden="1" customWidth="1"/>
    <col min="27" max="27" width="41.42578125" style="41" hidden="1" customWidth="1"/>
    <col min="28" max="28" width="44.7109375" style="41" hidden="1" customWidth="1"/>
    <col min="29" max="29" width="21.5703125" style="41" hidden="1" customWidth="1"/>
    <col min="30" max="30" width="9.5703125" style="41" hidden="1" customWidth="1"/>
    <col min="31" max="31" width="8" style="41" bestFit="1" customWidth="1"/>
    <col min="32" max="32" width="11.7109375" style="41" bestFit="1" customWidth="1"/>
    <col min="33" max="33" width="19.7109375" style="41" bestFit="1" customWidth="1"/>
    <col min="34" max="34" width="24.85546875" style="41" bestFit="1" customWidth="1"/>
    <col min="35" max="35" width="9" style="41" bestFit="1" customWidth="1"/>
    <col min="36" max="36" width="14.28515625" style="41" bestFit="1" customWidth="1"/>
    <col min="37" max="37" width="5" style="41" bestFit="1" customWidth="1"/>
    <col min="38" max="39" width="8.140625" style="42" bestFit="1" customWidth="1"/>
    <col min="40" max="40" width="3" style="41"/>
    <col min="41" max="42" width="8.140625" style="41" bestFit="1" customWidth="1"/>
    <col min="43" max="43" width="3" style="41"/>
    <col min="44" max="45" width="8.140625" style="41" bestFit="1" customWidth="1"/>
    <col min="46" max="46" width="3" style="41"/>
    <col min="47" max="48" width="8.140625" style="41" bestFit="1" customWidth="1"/>
    <col min="49" max="16384" width="3" style="41"/>
  </cols>
  <sheetData>
    <row r="1" spans="1:50" s="36" customFormat="1" x14ac:dyDescent="0.25">
      <c r="A1" s="33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64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34" t="s">
        <v>25</v>
      </c>
      <c r="AB1" s="34" t="s">
        <v>26</v>
      </c>
      <c r="AC1" s="34" t="s">
        <v>27</v>
      </c>
      <c r="AD1" s="34" t="s">
        <v>63</v>
      </c>
      <c r="AE1" s="35" t="s">
        <v>28</v>
      </c>
      <c r="AF1" s="35" t="s">
        <v>29</v>
      </c>
      <c r="AG1" s="35" t="s">
        <v>30</v>
      </c>
      <c r="AH1" s="35" t="s">
        <v>31</v>
      </c>
      <c r="AI1" s="35" t="s">
        <v>32</v>
      </c>
      <c r="AJ1" s="36" t="s">
        <v>33</v>
      </c>
      <c r="AK1" s="67">
        <f ca="1">COUNT(AG:AG)</f>
        <v>4</v>
      </c>
      <c r="AL1" s="37">
        <f ca="1">IF(AR1&gt;AS1,AR1-AS1/2,0)</f>
        <v>0</v>
      </c>
      <c r="AM1" s="37">
        <f ca="1">AU1-AV1/2</f>
        <v>3.8846652731941225E-2</v>
      </c>
      <c r="AN1" s="38"/>
      <c r="AO1" s="39">
        <v>1.0416666666666666E-2</v>
      </c>
      <c r="AP1" s="39">
        <v>6.9444444444444441E-3</v>
      </c>
      <c r="AQ1" s="39"/>
      <c r="AR1" s="39">
        <f ca="1">AVERAGE(AL2:AL32)</f>
        <v>0</v>
      </c>
      <c r="AS1" s="39">
        <f ca="1">AVERAGE(AM2:AM32)</f>
        <v>6.0092592592592586E-2</v>
      </c>
      <c r="AT1" s="39"/>
      <c r="AU1" s="39">
        <f ca="1">AVERAGE(AM2:AM32)</f>
        <v>6.0092592592592586E-2</v>
      </c>
      <c r="AV1" s="39">
        <f ca="1">_xlfn.STDEV.S(AM2:AM32)/2</f>
        <v>4.2491879721302715E-2</v>
      </c>
      <c r="AW1" s="67"/>
      <c r="AX1" s="67"/>
    </row>
    <row r="2" spans="1:50" s="13" customFormat="1" hidden="1" x14ac:dyDescent="0.25">
      <c r="A2" s="12">
        <v>45597</v>
      </c>
      <c r="B2" s="25"/>
      <c r="C2" s="26"/>
      <c r="D2" s="26"/>
      <c r="E2" s="27"/>
      <c r="F2" s="27">
        <v>2.6944444444444441E-2</v>
      </c>
      <c r="G2" s="27"/>
      <c r="H2" s="27"/>
      <c r="I2" s="27"/>
      <c r="J2" s="27"/>
      <c r="K2" s="27"/>
      <c r="L2" s="27"/>
      <c r="M2" s="27"/>
      <c r="N2" s="27">
        <v>3.4722222222222224E-2</v>
      </c>
      <c r="O2" s="27"/>
      <c r="P2" s="27"/>
      <c r="Q2" s="27"/>
      <c r="R2" s="27"/>
      <c r="S2" s="27"/>
      <c r="T2" s="27"/>
      <c r="U2" s="27">
        <v>2.0405092592592593E-2</v>
      </c>
      <c r="V2" s="27"/>
      <c r="W2" s="27"/>
      <c r="X2" s="27"/>
      <c r="Y2" s="27"/>
      <c r="Z2" s="27"/>
      <c r="AA2" s="27"/>
      <c r="AB2" s="27"/>
      <c r="AC2" s="27"/>
      <c r="AD2" s="27">
        <v>3.8113425925925926E-2</v>
      </c>
      <c r="AE2" s="27">
        <f>SUM(B2:AD2)</f>
        <v>0.12018518518518517</v>
      </c>
      <c r="AF2" s="27">
        <f t="shared" ref="AF2:AF29" si="0">IF(OR(WEEKDAY(A2)=1,WEEKDAY(A2)=7),$AO$1,$AP$1)</f>
        <v>6.9444444444444441E-3</v>
      </c>
      <c r="AG2" s="27">
        <f>AE2</f>
        <v>0.12018518518518517</v>
      </c>
      <c r="AH2" s="32">
        <f>AF2</f>
        <v>6.9444444444444441E-3</v>
      </c>
      <c r="AI2" s="20" t="str">
        <f ca="1">IF(A2&lt;=TODAY(),IF(AG2&gt;=AH2,TEXT(AG2-AH2," hh:mm:ss"),CONCATENATE("-",TEXT(ABS(AG2-AH2),"hh:mm:ss"))),"")</f>
        <v xml:space="preserve"> 02:43:04</v>
      </c>
      <c r="AJ2" s="13" t="str">
        <f t="shared" ref="AJ2:AJ6" ca="1" si="1">IF(A2=TODAY(),"HOJE","NÃO")</f>
        <v>NÃO</v>
      </c>
      <c r="AK2" s="69"/>
      <c r="AL2" s="30" t="str">
        <f t="shared" ref="AL2:AL8" ca="1" si="2">IF(A2&lt;=TODAY(),IF(OR(WEEKDAY(A2)=1,WEEKDAY(A2)=7),AE2,""),"")</f>
        <v/>
      </c>
      <c r="AM2" s="30">
        <f t="shared" ref="AM2:AM7" ca="1" si="3">IF(A2&lt;=TODAY(),IF(OR(WEEKDAY(A2)=1,WEEKDAY(A2)=7),"",AE2),"")</f>
        <v>0.12018518518518517</v>
      </c>
    </row>
    <row r="3" spans="1:50" s="13" customFormat="1" hidden="1" x14ac:dyDescent="0.25">
      <c r="A3" s="12">
        <f t="shared" ref="A3:A29" si="4">A2+1</f>
        <v>45598</v>
      </c>
      <c r="B3" s="25"/>
      <c r="C3" s="26"/>
      <c r="D3" s="26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>
        <f t="shared" ref="AE3:AE4" si="5">SUM(B3:AD3)</f>
        <v>0</v>
      </c>
      <c r="AF3" s="27">
        <f t="shared" si="0"/>
        <v>1.0416666666666666E-2</v>
      </c>
      <c r="AG3" s="27">
        <f t="shared" ref="AG3" ca="1" si="6">IF(A3&lt;=TODAY(),AG2+AE3,"")</f>
        <v>0.12018518518518517</v>
      </c>
      <c r="AH3" s="32">
        <f ca="1">IF(A3&lt;=TODAY(),AH2+AF3,"")</f>
        <v>1.7361111111111112E-2</v>
      </c>
      <c r="AI3" s="20" t="str">
        <f t="shared" ref="AI3:AI5" ca="1" si="7">IF(A3&lt;=TODAY(),IF(AG3&gt;=AH3,TEXT(AG3-AH3," hh:mm:ss"),CONCATENATE("-",TEXT(ABS(AG3-AH3),"hh:mm:ss"))),"")</f>
        <v xml:space="preserve"> 02:28:04</v>
      </c>
      <c r="AJ3" s="13" t="str">
        <f t="shared" ca="1" si="1"/>
        <v>NÃO</v>
      </c>
      <c r="AK3" s="69"/>
      <c r="AL3" s="30">
        <f t="shared" ca="1" si="2"/>
        <v>0</v>
      </c>
      <c r="AM3" s="30" t="str">
        <f t="shared" ca="1" si="3"/>
        <v/>
      </c>
    </row>
    <row r="4" spans="1:50" s="13" customFormat="1" hidden="1" x14ac:dyDescent="0.25">
      <c r="A4" s="12">
        <f t="shared" si="4"/>
        <v>45599</v>
      </c>
      <c r="B4" s="25"/>
      <c r="C4" s="26"/>
      <c r="D4" s="26"/>
      <c r="E4" s="27"/>
      <c r="F4" s="27"/>
      <c r="G4" s="27"/>
      <c r="H4" s="50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f t="shared" si="5"/>
        <v>0</v>
      </c>
      <c r="AF4" s="27">
        <f t="shared" si="0"/>
        <v>1.0416666666666666E-2</v>
      </c>
      <c r="AG4" s="27">
        <f t="shared" ref="AG4" ca="1" si="8">IF(A4&lt;=TODAY(),AG3+AE4,"")</f>
        <v>0.12018518518518517</v>
      </c>
      <c r="AH4" s="32">
        <f t="shared" ref="AH4" ca="1" si="9">IF(A4&lt;=TODAY(),AH3+AF4,"")</f>
        <v>2.7777777777777776E-2</v>
      </c>
      <c r="AI4" s="20" t="str">
        <f t="shared" ca="1" si="7"/>
        <v xml:space="preserve"> 02:13:04</v>
      </c>
      <c r="AJ4" s="13" t="str">
        <f t="shared" ca="1" si="1"/>
        <v>NÃO</v>
      </c>
      <c r="AL4" s="30">
        <f t="shared" ca="1" si="2"/>
        <v>0</v>
      </c>
      <c r="AM4" s="30" t="str">
        <f t="shared" ca="1" si="3"/>
        <v/>
      </c>
    </row>
    <row r="5" spans="1:50" s="13" customFormat="1" x14ac:dyDescent="0.25">
      <c r="A5" s="12">
        <f t="shared" si="4"/>
        <v>45600</v>
      </c>
      <c r="B5" s="25"/>
      <c r="C5" s="26"/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>
        <f t="shared" ref="AE5:AE19" si="10">SUM(B5:AD5)</f>
        <v>0</v>
      </c>
      <c r="AF5" s="27">
        <f t="shared" si="0"/>
        <v>6.9444444444444441E-3</v>
      </c>
      <c r="AG5" s="27">
        <f t="shared" ref="AG5:AG8" ca="1" si="11">IF(A5&lt;=TODAY(),AG4+AE5,"")</f>
        <v>0.12018518518518517</v>
      </c>
      <c r="AH5" s="32">
        <f t="shared" ref="AH5:AH8" ca="1" si="12">IF(A5&lt;=TODAY(),AH4+AF5,"")</f>
        <v>3.4722222222222224E-2</v>
      </c>
      <c r="AI5" s="20" t="str">
        <f t="shared" ca="1" si="7"/>
        <v xml:space="preserve"> 02:03:04</v>
      </c>
      <c r="AJ5" s="13" t="str">
        <f t="shared" ca="1" si="1"/>
        <v>HOJE</v>
      </c>
      <c r="AL5" s="30" t="str">
        <f t="shared" ca="1" si="2"/>
        <v/>
      </c>
      <c r="AM5" s="30">
        <f t="shared" ca="1" si="3"/>
        <v>0</v>
      </c>
    </row>
    <row r="6" spans="1:50" s="13" customFormat="1" hidden="1" x14ac:dyDescent="0.25">
      <c r="A6" s="12">
        <f t="shared" si="4"/>
        <v>45601</v>
      </c>
      <c r="B6" s="25"/>
      <c r="C6" s="26"/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>
        <f t="shared" si="10"/>
        <v>0</v>
      </c>
      <c r="AF6" s="27">
        <f t="shared" si="0"/>
        <v>6.9444444444444441E-3</v>
      </c>
      <c r="AG6" s="27" t="str">
        <f t="shared" ca="1" si="11"/>
        <v/>
      </c>
      <c r="AH6" s="32" t="str">
        <f t="shared" ca="1" si="12"/>
        <v/>
      </c>
      <c r="AI6" s="20" t="str">
        <f t="shared" ref="AI6:AI25" ca="1" si="13">IF(A6&lt;=TODAY(),IF(AG6&gt;=AH6,TEXT(AG6-AH6," hh:mm:ss"),CONCATENATE("-",TEXT(ABS(AG6-AH6),"hh:mm:ss"))),"")</f>
        <v/>
      </c>
      <c r="AJ6" s="13" t="str">
        <f t="shared" ca="1" si="1"/>
        <v>NÃO</v>
      </c>
      <c r="AL6" s="30" t="str">
        <f t="shared" ca="1" si="2"/>
        <v/>
      </c>
      <c r="AM6" s="30" t="str">
        <f t="shared" ca="1" si="3"/>
        <v/>
      </c>
    </row>
    <row r="7" spans="1:50" s="13" customFormat="1" hidden="1" x14ac:dyDescent="0.25">
      <c r="A7" s="12">
        <f t="shared" si="4"/>
        <v>45602</v>
      </c>
      <c r="B7" s="25"/>
      <c r="C7" s="26"/>
      <c r="D7" s="26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>
        <f t="shared" si="10"/>
        <v>0</v>
      </c>
      <c r="AF7" s="27">
        <f t="shared" si="0"/>
        <v>6.9444444444444441E-3</v>
      </c>
      <c r="AG7" s="27" t="str">
        <f t="shared" ca="1" si="11"/>
        <v/>
      </c>
      <c r="AH7" s="32" t="str">
        <f t="shared" ca="1" si="12"/>
        <v/>
      </c>
      <c r="AI7" s="20" t="str">
        <f t="shared" ca="1" si="13"/>
        <v/>
      </c>
      <c r="AJ7" s="13" t="str">
        <f t="shared" ref="AJ7:AJ8" ca="1" si="14">IF(A7=TODAY(),"HOJE","NÃO")</f>
        <v>NÃO</v>
      </c>
      <c r="AL7" s="30" t="str">
        <f t="shared" ca="1" si="2"/>
        <v/>
      </c>
      <c r="AM7" s="30" t="str">
        <f t="shared" ca="1" si="3"/>
        <v/>
      </c>
    </row>
    <row r="8" spans="1:50" s="13" customFormat="1" hidden="1" x14ac:dyDescent="0.25">
      <c r="A8" s="12">
        <f t="shared" si="4"/>
        <v>45603</v>
      </c>
      <c r="B8" s="25"/>
      <c r="C8" s="26"/>
      <c r="D8" s="26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>
        <f t="shared" si="10"/>
        <v>0</v>
      </c>
      <c r="AF8" s="27">
        <f t="shared" si="0"/>
        <v>6.9444444444444441E-3</v>
      </c>
      <c r="AG8" s="27" t="str">
        <f t="shared" ca="1" si="11"/>
        <v/>
      </c>
      <c r="AH8" s="32" t="str">
        <f t="shared" ca="1" si="12"/>
        <v/>
      </c>
      <c r="AI8" s="20" t="str">
        <f t="shared" ca="1" si="13"/>
        <v/>
      </c>
      <c r="AJ8" s="13" t="str">
        <f t="shared" ca="1" si="14"/>
        <v>NÃO</v>
      </c>
      <c r="AL8" s="30" t="str">
        <f t="shared" ca="1" si="2"/>
        <v/>
      </c>
      <c r="AM8" s="30" t="str">
        <f t="shared" ref="AM8" ca="1" si="15">IF(A8&lt;=TODAY(),IF(OR(WEEKDAY(A8)=1,WEEKDAY(A8)=7),"",AE8),"")</f>
        <v/>
      </c>
    </row>
    <row r="9" spans="1:50" s="13" customFormat="1" hidden="1" x14ac:dyDescent="0.25">
      <c r="A9" s="12">
        <f t="shared" si="4"/>
        <v>45604</v>
      </c>
      <c r="B9" s="25"/>
      <c r="C9" s="26"/>
      <c r="D9" s="26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>
        <f t="shared" si="10"/>
        <v>0</v>
      </c>
      <c r="AF9" s="27">
        <f t="shared" si="0"/>
        <v>6.9444444444444441E-3</v>
      </c>
      <c r="AG9" s="27" t="str">
        <f t="shared" ref="AG9:AG26" ca="1" si="16">IF(A9&lt;=TODAY(),AG8+AE9,"")</f>
        <v/>
      </c>
      <c r="AH9" s="32" t="str">
        <f t="shared" ref="AH9:AH26" ca="1" si="17">IF(A9&lt;=TODAY(),AH8+AF9,"")</f>
        <v/>
      </c>
      <c r="AI9" s="20" t="str">
        <f t="shared" ca="1" si="13"/>
        <v/>
      </c>
      <c r="AJ9" s="13" t="str">
        <f t="shared" ref="AJ9:AJ26" ca="1" si="18">IF(A9=TODAY(),"HOJE","NÃO")</f>
        <v>NÃO</v>
      </c>
      <c r="AL9" s="30" t="str">
        <f t="shared" ref="AL9:AL26" ca="1" si="19">IF(A9&lt;=TODAY(),IF(OR(WEEKDAY(A9)=1,WEEKDAY(A9)=7),AE9,""),"")</f>
        <v/>
      </c>
      <c r="AM9" s="30" t="str">
        <f t="shared" ref="AM9:AM26" ca="1" si="20">IF(A9&lt;=TODAY(),IF(OR(WEEKDAY(A9)=1,WEEKDAY(A9)=7),"",AE9),"")</f>
        <v/>
      </c>
    </row>
    <row r="10" spans="1:50" s="13" customFormat="1" hidden="1" x14ac:dyDescent="0.25">
      <c r="A10" s="12">
        <f t="shared" si="4"/>
        <v>45605</v>
      </c>
      <c r="B10" s="25"/>
      <c r="C10" s="26"/>
      <c r="D10" s="26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>
        <f t="shared" si="10"/>
        <v>0</v>
      </c>
      <c r="AF10" s="27">
        <f t="shared" si="0"/>
        <v>1.0416666666666666E-2</v>
      </c>
      <c r="AG10" s="27" t="str">
        <f t="shared" ca="1" si="16"/>
        <v/>
      </c>
      <c r="AH10" s="32" t="str">
        <f t="shared" ca="1" si="17"/>
        <v/>
      </c>
      <c r="AI10" s="20" t="str">
        <f t="shared" ca="1" si="13"/>
        <v/>
      </c>
      <c r="AJ10" s="13" t="str">
        <f t="shared" ca="1" si="18"/>
        <v>NÃO</v>
      </c>
      <c r="AL10" s="30" t="str">
        <f t="shared" ca="1" si="19"/>
        <v/>
      </c>
      <c r="AM10" s="30" t="str">
        <f t="shared" ca="1" si="20"/>
        <v/>
      </c>
    </row>
    <row r="11" spans="1:50" s="13" customFormat="1" hidden="1" x14ac:dyDescent="0.25">
      <c r="A11" s="12">
        <f t="shared" si="4"/>
        <v>45606</v>
      </c>
      <c r="B11" s="25"/>
      <c r="C11" s="26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>
        <f t="shared" si="10"/>
        <v>0</v>
      </c>
      <c r="AF11" s="27">
        <f t="shared" si="0"/>
        <v>1.0416666666666666E-2</v>
      </c>
      <c r="AG11" s="27" t="str">
        <f t="shared" ca="1" si="16"/>
        <v/>
      </c>
      <c r="AH11" s="32" t="str">
        <f t="shared" ca="1" si="17"/>
        <v/>
      </c>
      <c r="AI11" s="20" t="str">
        <f t="shared" ca="1" si="13"/>
        <v/>
      </c>
      <c r="AJ11" s="13" t="str">
        <f t="shared" ca="1" si="18"/>
        <v>NÃO</v>
      </c>
      <c r="AL11" s="30" t="str">
        <f t="shared" ca="1" si="19"/>
        <v/>
      </c>
      <c r="AM11" s="30" t="str">
        <f t="shared" ca="1" si="20"/>
        <v/>
      </c>
    </row>
    <row r="12" spans="1:50" s="13" customFormat="1" hidden="1" x14ac:dyDescent="0.25">
      <c r="A12" s="12">
        <f t="shared" si="4"/>
        <v>45607</v>
      </c>
      <c r="B12" s="25"/>
      <c r="C12" s="26"/>
      <c r="D12" s="26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>
        <f t="shared" si="10"/>
        <v>0</v>
      </c>
      <c r="AF12" s="27">
        <f t="shared" si="0"/>
        <v>6.9444444444444441E-3</v>
      </c>
      <c r="AG12" s="27" t="str">
        <f t="shared" ca="1" si="16"/>
        <v/>
      </c>
      <c r="AH12" s="32" t="str">
        <f t="shared" ca="1" si="17"/>
        <v/>
      </c>
      <c r="AI12" s="20" t="str">
        <f t="shared" ca="1" si="13"/>
        <v/>
      </c>
      <c r="AJ12" s="13" t="str">
        <f t="shared" ca="1" si="18"/>
        <v>NÃO</v>
      </c>
      <c r="AL12" s="30" t="str">
        <f t="shared" ca="1" si="19"/>
        <v/>
      </c>
      <c r="AM12" s="30" t="str">
        <f t="shared" ca="1" si="20"/>
        <v/>
      </c>
    </row>
    <row r="13" spans="1:50" s="13" customFormat="1" hidden="1" x14ac:dyDescent="0.25">
      <c r="A13" s="12">
        <f t="shared" si="4"/>
        <v>45608</v>
      </c>
      <c r="B13" s="25"/>
      <c r="C13" s="26"/>
      <c r="D13" s="2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>
        <f t="shared" si="10"/>
        <v>0</v>
      </c>
      <c r="AF13" s="27">
        <f t="shared" si="0"/>
        <v>6.9444444444444441E-3</v>
      </c>
      <c r="AG13" s="27" t="str">
        <f t="shared" ca="1" si="16"/>
        <v/>
      </c>
      <c r="AH13" s="32" t="str">
        <f t="shared" ca="1" si="17"/>
        <v/>
      </c>
      <c r="AI13" s="20" t="str">
        <f t="shared" ca="1" si="13"/>
        <v/>
      </c>
      <c r="AJ13" s="13" t="str">
        <f t="shared" ca="1" si="18"/>
        <v>NÃO</v>
      </c>
      <c r="AL13" s="30" t="str">
        <f t="shared" ca="1" si="19"/>
        <v/>
      </c>
      <c r="AM13" s="30" t="str">
        <f t="shared" ca="1" si="20"/>
        <v/>
      </c>
    </row>
    <row r="14" spans="1:50" s="13" customFormat="1" hidden="1" x14ac:dyDescent="0.25">
      <c r="A14" s="12">
        <f t="shared" si="4"/>
        <v>45609</v>
      </c>
      <c r="B14" s="25"/>
      <c r="C14" s="26"/>
      <c r="D14" s="26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>
        <f t="shared" si="10"/>
        <v>0</v>
      </c>
      <c r="AF14" s="27">
        <f t="shared" si="0"/>
        <v>6.9444444444444441E-3</v>
      </c>
      <c r="AG14" s="27" t="str">
        <f t="shared" ca="1" si="16"/>
        <v/>
      </c>
      <c r="AH14" s="32" t="str">
        <f t="shared" ca="1" si="17"/>
        <v/>
      </c>
      <c r="AI14" s="20" t="str">
        <f t="shared" ca="1" si="13"/>
        <v/>
      </c>
      <c r="AJ14" s="13" t="str">
        <f t="shared" ca="1" si="18"/>
        <v>NÃO</v>
      </c>
      <c r="AL14" s="30" t="str">
        <f t="shared" ca="1" si="19"/>
        <v/>
      </c>
      <c r="AM14" s="30" t="str">
        <f t="shared" ca="1" si="20"/>
        <v/>
      </c>
    </row>
    <row r="15" spans="1:50" s="13" customFormat="1" hidden="1" x14ac:dyDescent="0.25">
      <c r="A15" s="12">
        <f t="shared" si="4"/>
        <v>45610</v>
      </c>
      <c r="B15" s="25"/>
      <c r="C15" s="26"/>
      <c r="D15" s="2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>
        <f t="shared" si="10"/>
        <v>0</v>
      </c>
      <c r="AF15" s="27">
        <f t="shared" si="0"/>
        <v>6.9444444444444441E-3</v>
      </c>
      <c r="AG15" s="27" t="str">
        <f t="shared" ca="1" si="16"/>
        <v/>
      </c>
      <c r="AH15" s="32" t="str">
        <f t="shared" ca="1" si="17"/>
        <v/>
      </c>
      <c r="AI15" s="21" t="str">
        <f t="shared" ca="1" si="13"/>
        <v/>
      </c>
      <c r="AJ15" s="13" t="str">
        <f t="shared" ca="1" si="18"/>
        <v>NÃO</v>
      </c>
      <c r="AL15" s="30" t="str">
        <f t="shared" ca="1" si="19"/>
        <v/>
      </c>
      <c r="AM15" s="30" t="str">
        <f t="shared" ca="1" si="20"/>
        <v/>
      </c>
    </row>
    <row r="16" spans="1:50" s="13" customFormat="1" hidden="1" x14ac:dyDescent="0.25">
      <c r="A16" s="12">
        <f t="shared" si="4"/>
        <v>45611</v>
      </c>
      <c r="B16" s="25"/>
      <c r="C16" s="26"/>
      <c r="D16" s="26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>
        <f t="shared" si="10"/>
        <v>0</v>
      </c>
      <c r="AF16" s="27">
        <f t="shared" si="0"/>
        <v>6.9444444444444441E-3</v>
      </c>
      <c r="AG16" s="27" t="str">
        <f t="shared" ca="1" si="16"/>
        <v/>
      </c>
      <c r="AH16" s="32" t="str">
        <f t="shared" ca="1" si="17"/>
        <v/>
      </c>
      <c r="AI16" s="21" t="str">
        <f t="shared" ca="1" si="13"/>
        <v/>
      </c>
      <c r="AJ16" s="13" t="str">
        <f t="shared" ca="1" si="18"/>
        <v>NÃO</v>
      </c>
      <c r="AL16" s="30" t="str">
        <f t="shared" ca="1" si="19"/>
        <v/>
      </c>
      <c r="AM16" s="30" t="str">
        <f t="shared" ca="1" si="20"/>
        <v/>
      </c>
    </row>
    <row r="17" spans="1:39" s="13" customFormat="1" hidden="1" x14ac:dyDescent="0.25">
      <c r="A17" s="12">
        <f t="shared" si="4"/>
        <v>45612</v>
      </c>
      <c r="B17" s="25"/>
      <c r="C17" s="26"/>
      <c r="D17" s="2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>
        <f t="shared" si="10"/>
        <v>0</v>
      </c>
      <c r="AF17" s="27">
        <f t="shared" si="0"/>
        <v>1.0416666666666666E-2</v>
      </c>
      <c r="AG17" s="27" t="str">
        <f t="shared" ca="1" si="16"/>
        <v/>
      </c>
      <c r="AH17" s="32" t="str">
        <f t="shared" ca="1" si="17"/>
        <v/>
      </c>
      <c r="AI17" s="21" t="str">
        <f t="shared" ca="1" si="13"/>
        <v/>
      </c>
      <c r="AJ17" s="13" t="str">
        <f t="shared" ca="1" si="18"/>
        <v>NÃO</v>
      </c>
      <c r="AL17" s="30" t="str">
        <f t="shared" ca="1" si="19"/>
        <v/>
      </c>
      <c r="AM17" s="30" t="str">
        <f t="shared" ca="1" si="20"/>
        <v/>
      </c>
    </row>
    <row r="18" spans="1:39" s="13" customFormat="1" hidden="1" x14ac:dyDescent="0.25">
      <c r="A18" s="12">
        <f t="shared" si="4"/>
        <v>45613</v>
      </c>
      <c r="B18" s="25"/>
      <c r="C18" s="26"/>
      <c r="D18" s="26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>
        <f t="shared" si="10"/>
        <v>0</v>
      </c>
      <c r="AF18" s="27">
        <f t="shared" si="0"/>
        <v>1.0416666666666666E-2</v>
      </c>
      <c r="AG18" s="27" t="str">
        <f t="shared" ca="1" si="16"/>
        <v/>
      </c>
      <c r="AH18" s="32" t="str">
        <f t="shared" ca="1" si="17"/>
        <v/>
      </c>
      <c r="AI18" s="21" t="str">
        <f t="shared" ca="1" si="13"/>
        <v/>
      </c>
      <c r="AJ18" s="13" t="str">
        <f t="shared" ca="1" si="18"/>
        <v>NÃO</v>
      </c>
      <c r="AL18" s="30" t="str">
        <f t="shared" ca="1" si="19"/>
        <v/>
      </c>
      <c r="AM18" s="30" t="str">
        <f t="shared" ca="1" si="20"/>
        <v/>
      </c>
    </row>
    <row r="19" spans="1:39" s="13" customFormat="1" hidden="1" x14ac:dyDescent="0.25">
      <c r="A19" s="12">
        <f t="shared" si="4"/>
        <v>45614</v>
      </c>
      <c r="B19" s="25"/>
      <c r="C19" s="26"/>
      <c r="D19" s="2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>
        <f t="shared" si="10"/>
        <v>0</v>
      </c>
      <c r="AF19" s="27">
        <f t="shared" si="0"/>
        <v>6.9444444444444441E-3</v>
      </c>
      <c r="AG19" s="27" t="str">
        <f t="shared" ca="1" si="16"/>
        <v/>
      </c>
      <c r="AH19" s="32" t="str">
        <f t="shared" ca="1" si="17"/>
        <v/>
      </c>
      <c r="AI19" s="21" t="str">
        <f t="shared" ca="1" si="13"/>
        <v/>
      </c>
      <c r="AJ19" s="13" t="str">
        <f t="shared" ca="1" si="18"/>
        <v>NÃO</v>
      </c>
      <c r="AL19" s="30" t="str">
        <f t="shared" ca="1" si="19"/>
        <v/>
      </c>
      <c r="AM19" s="30" t="str">
        <f t="shared" ca="1" si="20"/>
        <v/>
      </c>
    </row>
    <row r="20" spans="1:39" s="13" customFormat="1" hidden="1" x14ac:dyDescent="0.25">
      <c r="A20" s="12">
        <f t="shared" si="4"/>
        <v>45615</v>
      </c>
      <c r="B20" s="25"/>
      <c r="C20" s="26"/>
      <c r="D20" s="26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>
        <f t="shared" ref="AE20:AE26" si="21">SUM(B20:AD20)</f>
        <v>0</v>
      </c>
      <c r="AF20" s="27">
        <f t="shared" si="0"/>
        <v>6.9444444444444441E-3</v>
      </c>
      <c r="AG20" s="27" t="str">
        <f t="shared" ca="1" si="16"/>
        <v/>
      </c>
      <c r="AH20" s="32" t="str">
        <f t="shared" ca="1" si="17"/>
        <v/>
      </c>
      <c r="AI20" s="21" t="str">
        <f t="shared" ca="1" si="13"/>
        <v/>
      </c>
      <c r="AJ20" s="13" t="str">
        <f t="shared" ca="1" si="18"/>
        <v>NÃO</v>
      </c>
      <c r="AL20" s="30" t="str">
        <f t="shared" ca="1" si="19"/>
        <v/>
      </c>
      <c r="AM20" s="30" t="str">
        <f t="shared" ca="1" si="20"/>
        <v/>
      </c>
    </row>
    <row r="21" spans="1:39" s="13" customFormat="1" hidden="1" x14ac:dyDescent="0.25">
      <c r="A21" s="12">
        <f t="shared" si="4"/>
        <v>45616</v>
      </c>
      <c r="B21" s="25"/>
      <c r="C21" s="26"/>
      <c r="D21" s="2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>
        <f t="shared" si="21"/>
        <v>0</v>
      </c>
      <c r="AF21" s="27">
        <f t="shared" si="0"/>
        <v>6.9444444444444441E-3</v>
      </c>
      <c r="AG21" s="27" t="str">
        <f t="shared" ca="1" si="16"/>
        <v/>
      </c>
      <c r="AH21" s="32" t="str">
        <f t="shared" ca="1" si="17"/>
        <v/>
      </c>
      <c r="AI21" s="21" t="str">
        <f t="shared" ca="1" si="13"/>
        <v/>
      </c>
      <c r="AJ21" s="13" t="str">
        <f t="shared" ca="1" si="18"/>
        <v>NÃO</v>
      </c>
      <c r="AL21" s="30" t="str">
        <f t="shared" ca="1" si="19"/>
        <v/>
      </c>
      <c r="AM21" s="30" t="str">
        <f t="shared" ca="1" si="20"/>
        <v/>
      </c>
    </row>
    <row r="22" spans="1:39" s="13" customFormat="1" hidden="1" x14ac:dyDescent="0.25">
      <c r="A22" s="12">
        <f t="shared" si="4"/>
        <v>45617</v>
      </c>
      <c r="B22" s="25"/>
      <c r="C22" s="26"/>
      <c r="D22" s="26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>
        <f t="shared" si="21"/>
        <v>0</v>
      </c>
      <c r="AF22" s="27">
        <f t="shared" si="0"/>
        <v>6.9444444444444441E-3</v>
      </c>
      <c r="AG22" s="27" t="str">
        <f t="shared" ca="1" si="16"/>
        <v/>
      </c>
      <c r="AH22" s="32" t="str">
        <f t="shared" ca="1" si="17"/>
        <v/>
      </c>
      <c r="AI22" s="21" t="str">
        <f t="shared" ca="1" si="13"/>
        <v/>
      </c>
      <c r="AJ22" s="13" t="str">
        <f t="shared" ca="1" si="18"/>
        <v>NÃO</v>
      </c>
      <c r="AL22" s="30" t="str">
        <f t="shared" ca="1" si="19"/>
        <v/>
      </c>
      <c r="AM22" s="30" t="str">
        <f t="shared" ca="1" si="20"/>
        <v/>
      </c>
    </row>
    <row r="23" spans="1:39" s="13" customFormat="1" hidden="1" x14ac:dyDescent="0.25">
      <c r="A23" s="12">
        <f t="shared" si="4"/>
        <v>45618</v>
      </c>
      <c r="B23" s="25"/>
      <c r="C23" s="26"/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>
        <f t="shared" si="21"/>
        <v>0</v>
      </c>
      <c r="AF23" s="27">
        <f t="shared" si="0"/>
        <v>6.9444444444444441E-3</v>
      </c>
      <c r="AG23" s="27" t="str">
        <f t="shared" ca="1" si="16"/>
        <v/>
      </c>
      <c r="AH23" s="32" t="str">
        <f t="shared" ca="1" si="17"/>
        <v/>
      </c>
      <c r="AI23" s="21" t="str">
        <f t="shared" ca="1" si="13"/>
        <v/>
      </c>
      <c r="AJ23" s="13" t="str">
        <f t="shared" ca="1" si="18"/>
        <v>NÃO</v>
      </c>
      <c r="AL23" s="30" t="str">
        <f t="shared" ca="1" si="19"/>
        <v/>
      </c>
      <c r="AM23" s="30" t="str">
        <f t="shared" ca="1" si="20"/>
        <v/>
      </c>
    </row>
    <row r="24" spans="1:39" s="13" customFormat="1" hidden="1" x14ac:dyDescent="0.25">
      <c r="A24" s="12">
        <f t="shared" si="4"/>
        <v>45619</v>
      </c>
      <c r="B24" s="25"/>
      <c r="C24" s="26"/>
      <c r="D24" s="26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>
        <f t="shared" si="21"/>
        <v>0</v>
      </c>
      <c r="AF24" s="27">
        <f t="shared" si="0"/>
        <v>1.0416666666666666E-2</v>
      </c>
      <c r="AG24" s="27" t="str">
        <f t="shared" ca="1" si="16"/>
        <v/>
      </c>
      <c r="AH24" s="32" t="str">
        <f t="shared" ca="1" si="17"/>
        <v/>
      </c>
      <c r="AI24" s="21" t="str">
        <f t="shared" ca="1" si="13"/>
        <v/>
      </c>
      <c r="AJ24" s="13" t="str">
        <f t="shared" ca="1" si="18"/>
        <v>NÃO</v>
      </c>
      <c r="AL24" s="30" t="str">
        <f t="shared" ca="1" si="19"/>
        <v/>
      </c>
      <c r="AM24" s="30" t="str">
        <f t="shared" ca="1" si="20"/>
        <v/>
      </c>
    </row>
    <row r="25" spans="1:39" s="13" customFormat="1" hidden="1" x14ac:dyDescent="0.25">
      <c r="A25" s="12">
        <f t="shared" si="4"/>
        <v>45620</v>
      </c>
      <c r="B25" s="25"/>
      <c r="C25" s="26"/>
      <c r="D25" s="2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>
        <f t="shared" si="21"/>
        <v>0</v>
      </c>
      <c r="AF25" s="27">
        <f t="shared" si="0"/>
        <v>1.0416666666666666E-2</v>
      </c>
      <c r="AG25" s="27" t="str">
        <f t="shared" ca="1" si="16"/>
        <v/>
      </c>
      <c r="AH25" s="32" t="str">
        <f t="shared" ca="1" si="17"/>
        <v/>
      </c>
      <c r="AI25" s="21" t="str">
        <f t="shared" ca="1" si="13"/>
        <v/>
      </c>
      <c r="AJ25" s="13" t="str">
        <f t="shared" ca="1" si="18"/>
        <v>NÃO</v>
      </c>
      <c r="AL25" s="30" t="str">
        <f t="shared" ca="1" si="19"/>
        <v/>
      </c>
      <c r="AM25" s="30" t="str">
        <f t="shared" ca="1" si="20"/>
        <v/>
      </c>
    </row>
    <row r="26" spans="1:39" s="13" customFormat="1" hidden="1" x14ac:dyDescent="0.25">
      <c r="A26" s="12">
        <f t="shared" si="4"/>
        <v>45621</v>
      </c>
      <c r="B26" s="25"/>
      <c r="C26" s="26"/>
      <c r="D26" s="26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>
        <f t="shared" si="21"/>
        <v>0</v>
      </c>
      <c r="AF26" s="27">
        <f t="shared" si="0"/>
        <v>6.9444444444444441E-3</v>
      </c>
      <c r="AG26" s="27" t="str">
        <f t="shared" ca="1" si="16"/>
        <v/>
      </c>
      <c r="AH26" s="32" t="str">
        <f t="shared" ca="1" si="17"/>
        <v/>
      </c>
      <c r="AI26" s="21" t="str">
        <f t="shared" ref="AI26:AI29" ca="1" si="22">IF(A26&lt;=TODAY(),IF(AG26&gt;=AH26,TEXT(AG26-AH26," hh:mm:ss"),CONCATENATE("-",TEXT(ABS(AG26-AH26),"hh:mm:ss"))),"")</f>
        <v/>
      </c>
      <c r="AJ26" s="13" t="str">
        <f t="shared" ca="1" si="18"/>
        <v>NÃO</v>
      </c>
      <c r="AL26" s="30" t="str">
        <f t="shared" ca="1" si="19"/>
        <v/>
      </c>
      <c r="AM26" s="30" t="str">
        <f t="shared" ca="1" si="20"/>
        <v/>
      </c>
    </row>
    <row r="27" spans="1:39" s="13" customFormat="1" hidden="1" x14ac:dyDescent="0.25">
      <c r="A27" s="12">
        <f t="shared" si="4"/>
        <v>45622</v>
      </c>
      <c r="B27" s="25"/>
      <c r="C27" s="26"/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>
        <f t="shared" ref="AE27:AE29" si="23">SUM(B27:AD27)</f>
        <v>0</v>
      </c>
      <c r="AF27" s="27">
        <f t="shared" si="0"/>
        <v>6.9444444444444441E-3</v>
      </c>
      <c r="AG27" s="27" t="str">
        <f t="shared" ref="AG27:AG29" ca="1" si="24">IF(A27&lt;=TODAY(),AG26+AE27,"")</f>
        <v/>
      </c>
      <c r="AH27" s="32" t="str">
        <f t="shared" ref="AH27:AH29" ca="1" si="25">IF(A27&lt;=TODAY(),AH26+AF27,"")</f>
        <v/>
      </c>
      <c r="AI27" s="21" t="str">
        <f t="shared" ca="1" si="22"/>
        <v/>
      </c>
      <c r="AJ27" s="13" t="str">
        <f t="shared" ref="AJ27:AJ29" ca="1" si="26">IF(A27=TODAY(),"HOJE","NÃO")</f>
        <v>NÃO</v>
      </c>
      <c r="AL27" s="30" t="str">
        <f t="shared" ref="AL27:AL29" ca="1" si="27">IF(A27&lt;=TODAY(),IF(OR(WEEKDAY(A27)=1,WEEKDAY(A27)=7),AE27,""),"")</f>
        <v/>
      </c>
      <c r="AM27" s="30" t="str">
        <f t="shared" ref="AM27:AM29" ca="1" si="28">IF(A27&lt;=TODAY(),IF(OR(WEEKDAY(A27)=1,WEEKDAY(A27)=7),"",AE27),"")</f>
        <v/>
      </c>
    </row>
    <row r="28" spans="1:39" s="13" customFormat="1" hidden="1" x14ac:dyDescent="0.25">
      <c r="A28" s="12">
        <f t="shared" si="4"/>
        <v>45623</v>
      </c>
      <c r="B28" s="25"/>
      <c r="C28" s="26"/>
      <c r="D28" s="26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>
        <f t="shared" si="23"/>
        <v>0</v>
      </c>
      <c r="AF28" s="27">
        <f t="shared" si="0"/>
        <v>6.9444444444444441E-3</v>
      </c>
      <c r="AG28" s="27" t="str">
        <f t="shared" ca="1" si="24"/>
        <v/>
      </c>
      <c r="AH28" s="32" t="str">
        <f t="shared" ca="1" si="25"/>
        <v/>
      </c>
      <c r="AI28" s="21" t="str">
        <f t="shared" ca="1" si="22"/>
        <v/>
      </c>
      <c r="AJ28" s="13" t="str">
        <f t="shared" ca="1" si="26"/>
        <v>NÃO</v>
      </c>
      <c r="AL28" s="30" t="str">
        <f t="shared" ca="1" si="27"/>
        <v/>
      </c>
      <c r="AM28" s="30" t="str">
        <f t="shared" ca="1" si="28"/>
        <v/>
      </c>
    </row>
    <row r="29" spans="1:39" s="13" customFormat="1" hidden="1" x14ac:dyDescent="0.25">
      <c r="A29" s="12">
        <f t="shared" si="4"/>
        <v>45624</v>
      </c>
      <c r="B29" s="25"/>
      <c r="C29" s="26"/>
      <c r="D29" s="2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>
        <f t="shared" si="23"/>
        <v>0</v>
      </c>
      <c r="AF29" s="27">
        <f t="shared" si="0"/>
        <v>6.9444444444444441E-3</v>
      </c>
      <c r="AG29" s="27" t="str">
        <f t="shared" ca="1" si="24"/>
        <v/>
      </c>
      <c r="AH29" s="32" t="str">
        <f t="shared" ca="1" si="25"/>
        <v/>
      </c>
      <c r="AI29" s="21" t="str">
        <f t="shared" ca="1" si="22"/>
        <v/>
      </c>
      <c r="AJ29" s="13" t="str">
        <f t="shared" ca="1" si="26"/>
        <v>NÃO</v>
      </c>
      <c r="AL29" s="30" t="str">
        <f t="shared" ca="1" si="27"/>
        <v/>
      </c>
      <c r="AM29" s="30" t="str">
        <f t="shared" ca="1" si="28"/>
        <v/>
      </c>
    </row>
    <row r="30" spans="1:39" s="13" customFormat="1" hidden="1" x14ac:dyDescent="0.25">
      <c r="A30" s="12"/>
      <c r="B30" s="25"/>
      <c r="C30" s="26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32"/>
      <c r="AI30" s="20"/>
      <c r="AL30" s="30"/>
      <c r="AM30" s="30"/>
    </row>
    <row r="31" spans="1:39" s="13" customFormat="1" hidden="1" x14ac:dyDescent="0.25">
      <c r="A31" s="12"/>
      <c r="B31" s="25"/>
      <c r="C31" s="26"/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32"/>
      <c r="AI31" s="20"/>
      <c r="AL31" s="30"/>
      <c r="AM31" s="30"/>
    </row>
    <row r="32" spans="1:39" s="13" customFormat="1" hidden="1" x14ac:dyDescent="0.25">
      <c r="A32" s="12"/>
      <c r="B32" s="25"/>
      <c r="C32" s="26"/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1"/>
      <c r="AL32" s="30"/>
      <c r="AM32" s="30"/>
    </row>
    <row r="33" spans="1:48" s="13" customFormat="1" hidden="1" x14ac:dyDescent="0.25">
      <c r="A33" s="12"/>
      <c r="B33" s="25"/>
      <c r="C33" s="26"/>
      <c r="D33" s="2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0"/>
      <c r="AL33" s="30"/>
      <c r="AM33" s="30"/>
    </row>
    <row r="34" spans="1:48" x14ac:dyDescent="0.25">
      <c r="A34" s="43"/>
      <c r="B34" s="43"/>
      <c r="C34" s="44"/>
      <c r="D34" s="44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6"/>
    </row>
    <row r="35" spans="1:48" s="47" customFormat="1" x14ac:dyDescent="0.25">
      <c r="B35" s="47">
        <f>IF(COUNTIF(RESUMO!$B:$B,DIÁRIO!B1)&lt;&gt;1,"Erro",SUMIF(RESUMO!$B:$B,DIÁRIO!B1,RESUMO!$C:$C))</f>
        <v>0</v>
      </c>
      <c r="C35" s="47">
        <f>IF(COUNTIF(RESUMO!$B:$B,DIÁRIO!C1)&lt;&gt;1,"Erro",SUMIF(RESUMO!$B:$B,DIÁRIO!C1,RESUMO!$C:$C))</f>
        <v>0</v>
      </c>
      <c r="D35" s="47">
        <f>IF(COUNTIF(RESUMO!$B:$B,DIÁRIO!D1)&lt;&gt;1,"Erro",SUMIF(RESUMO!$B:$B,DIÁRIO!D1,RESUMO!$C:$C))</f>
        <v>0</v>
      </c>
      <c r="E35" s="47">
        <f>IF(COUNTIF(RESUMO!$B:$B,DIÁRIO!E1)&lt;&gt;1,"Erro",SUMIF(RESUMO!$B:$B,DIÁRIO!E1,RESUMO!$C:$C))</f>
        <v>0</v>
      </c>
      <c r="F35" s="47">
        <f>IF(COUNTIF(RESUMO!$B:$B,DIÁRIO!F1)&lt;&gt;1,"Erro",SUMIF(RESUMO!$B:$B,DIÁRIO!F1,RESUMO!$C:$C))</f>
        <v>1.3789336225505866</v>
      </c>
      <c r="G35" s="47">
        <f>IF(COUNTIF(RESUMO!$B:$B,DIÁRIO!G1)&lt;&gt;1,"Erro",SUMIF(RESUMO!$B:$B,DIÁRIO!G1,RESUMO!$C:$C))</f>
        <v>0</v>
      </c>
      <c r="H35" s="47">
        <f>IF(COUNTIF(RESUMO!$B:$B,DIÁRIO!H1)&lt;&gt;1,"Erro",SUMIF(RESUMO!$B:$B,DIÁRIO!H1,RESUMO!$C:$C))</f>
        <v>0</v>
      </c>
      <c r="I35" s="47">
        <f>IF(COUNTIF(RESUMO!$B:$B,DIÁRIO!I1)&lt;&gt;1,"Erro",SUMIF(RESUMO!$B:$B,DIÁRIO!I1,RESUMO!$C:$C))</f>
        <v>0</v>
      </c>
      <c r="J35" s="47">
        <f>IF(COUNTIF(RESUMO!$B:$B,DIÁRIO!J1)&lt;&gt;1,"Erro",SUMIF(RESUMO!$B:$B,DIÁRIO!J1,RESUMO!$C:$C))</f>
        <v>0</v>
      </c>
      <c r="K35" s="47">
        <f>IF(COUNTIF(RESUMO!$B:$B,DIÁRIO!K1)&lt;&gt;1,"Erro",SUMIF(RESUMO!$B:$B,DIÁRIO!K1,RESUMO!$C:$C))</f>
        <v>0</v>
      </c>
      <c r="L35" s="47">
        <f>IF(COUNTIF(RESUMO!$B:$B,DIÁRIO!L1)&lt;&gt;1,"Erro",SUMIF(RESUMO!$B:$B,DIÁRIO!L1,RESUMO!$C:$C))</f>
        <v>0</v>
      </c>
      <c r="M35" s="47">
        <f>IF(COUNTIF(RESUMO!$B:$B,DIÁRIO!M1)&lt;&gt;1,"Erro",SUMIF(RESUMO!$B:$B,DIÁRIO!M1,RESUMO!$C:$C))</f>
        <v>0</v>
      </c>
      <c r="N35" s="47">
        <f>IF(COUNTIF(RESUMO!$B:$B,DIÁRIO!N1)&lt;&gt;1,"Erro",SUMIF(RESUMO!$B:$B,DIÁRIO!N1,RESUMO!$C:$C))</f>
        <v>3</v>
      </c>
      <c r="O35" s="47">
        <f>IF(COUNTIF(RESUMO!$B:$B,DIÁRIO!O1)&lt;&gt;1,"Erro",SUMIF(RESUMO!$B:$B,DIÁRIO!O1,RESUMO!$C:$C))</f>
        <v>0</v>
      </c>
      <c r="P35" s="47">
        <f>IF(COUNTIF(RESUMO!$B:$B,DIÁRIO!P1)&lt;&gt;1,"Erro",SUMIF(RESUMO!$B:$B,DIÁRIO!P1,RESUMO!$C:$C))</f>
        <v>0</v>
      </c>
      <c r="Q35" s="47">
        <f>IF(COUNTIF(RESUMO!$B:$B,DIÁRIO!Q1)&lt;&gt;1,"Erro",SUMIF(RESUMO!$B:$B,DIÁRIO!Q1,RESUMO!$C:$C))</f>
        <v>0</v>
      </c>
      <c r="R35" s="47">
        <f>IF(COUNTIF(RESUMO!$B:$B,DIÁRIO!R1)&lt;&gt;1,"Erro",SUMIF(RESUMO!$B:$B,DIÁRIO!R1,RESUMO!$C:$C))</f>
        <v>0</v>
      </c>
      <c r="S35" s="47">
        <f>IF(COUNTIF(RESUMO!$B:$B,DIÁRIO!S1)&lt;&gt;1,"Erro",SUMIF(RESUMO!$B:$B,DIÁRIO!S1,RESUMO!$C:$C))</f>
        <v>0</v>
      </c>
      <c r="T35" s="47">
        <f>IF(COUNTIF(RESUMO!$B:$B,DIÁRIO!T1)&lt;&gt;1,"Erro",SUMIF(RESUMO!$B:$B,DIÁRIO!T1,RESUMO!$C:$C))</f>
        <v>0</v>
      </c>
      <c r="U35" s="47">
        <f>IF(COUNTIF(RESUMO!$B:$B,DIÁRIO!U1)&lt;&gt;1,"Erro",SUMIF(RESUMO!$B:$B,DIÁRIO!U1,RESUMO!$C:$C))</f>
        <v>1.0443733285255845</v>
      </c>
      <c r="V35" s="47">
        <f>IF(COUNTIF(RESUMO!$B:$B,DIÁRIO!V1)&lt;&gt;1,"Erro",SUMIF(RESUMO!$B:$B,DIÁRIO!V1,RESUMO!$C:$C))</f>
        <v>1</v>
      </c>
      <c r="W35" s="47">
        <f>IF(COUNTIF(RESUMO!$B:$B,DIÁRIO!W1)&lt;&gt;1,"Erro",SUMIF(RESUMO!$B:$B,DIÁRIO!W1,RESUMO!$C:$C))</f>
        <v>0</v>
      </c>
      <c r="X35" s="47">
        <f>IF(COUNTIF(RESUMO!$B:$B,DIÁRIO!X1)&lt;&gt;1,"Erro",SUMIF(RESUMO!$B:$B,DIÁRIO!X1,RESUMO!$C:$C))</f>
        <v>0</v>
      </c>
      <c r="Y35" s="47">
        <f>IF(COUNTIF(RESUMO!$B:$B,DIÁRIO!Y1)&lt;&gt;1,"Erro",SUMIF(RESUMO!$B:$B,DIÁRIO!Y1,RESUMO!$C:$C))</f>
        <v>0</v>
      </c>
      <c r="Z35" s="47">
        <f>IF(COUNTIF(RESUMO!$B:$B,DIÁRIO!Z1)&lt;&gt;1,"Erro",SUMIF(RESUMO!$B:$B,DIÁRIO!Z1,RESUMO!$C:$C))</f>
        <v>1</v>
      </c>
      <c r="AA35" s="47">
        <f>IF(COUNTIF(RESUMO!$B:$B,DIÁRIO!AA1)&lt;&gt;1,"Erro",SUMIF(RESUMO!$B:$B,DIÁRIO!AA1,RESUMO!$C:$C))</f>
        <v>1</v>
      </c>
      <c r="AB35" s="47">
        <f>IF(COUNTIF(RESUMO!$B:$B,DIÁRIO!AB1)&lt;&gt;1,"Erro",SUMIF(RESUMO!$B:$B,DIÁRIO!AB1,RESUMO!$C:$C))</f>
        <v>1</v>
      </c>
      <c r="AC35" s="47">
        <f>IF(COUNTIF(RESUMO!$B:$B,DIÁRIO!AC1)&lt;&gt;1,"Erro",SUMIF(RESUMO!$B:$B,DIÁRIO!AC1,RESUMO!$C:$C))</f>
        <v>0</v>
      </c>
      <c r="AD35" s="47">
        <f>IF(COUNTIF(RESUMO!$B:$B,DIÁRIO!AD1)&lt;&gt;1,"Erro",SUMIF(RESUMO!$B:$B,DIÁRIO!AD1,RESUMO!$C:$C))</f>
        <v>1.9506267166228783</v>
      </c>
      <c r="AI35" s="48"/>
      <c r="AL35" s="42"/>
      <c r="AM35" s="42"/>
      <c r="AS35" s="68"/>
      <c r="AU35" s="42"/>
      <c r="AV35" s="42"/>
    </row>
    <row r="36" spans="1:48" s="47" customFormat="1" x14ac:dyDescent="0.25">
      <c r="AI36" s="48"/>
      <c r="AL36" s="42"/>
      <c r="AM36" s="42"/>
    </row>
    <row r="37" spans="1:48" s="49" customFormat="1" x14ac:dyDescent="0.25">
      <c r="B37" s="49" t="str">
        <f>IF(COUNTIF(RESUMO!$B:$B,DIÁRIO!B1)&lt;&gt;1,"Erro",VLOOKUP(DIÁRIO!B1,RESUMO!$B$2:$H$30,7))</f>
        <v>-</v>
      </c>
      <c r="C37" s="49" t="str">
        <f>IF(COUNTIF(RESUMO!$B:$B,DIÁRIO!C1)&lt;&gt;1,"Erro",VLOOKUP(DIÁRIO!C1,RESUMO!$B$2:$H$30,7))</f>
        <v>-</v>
      </c>
      <c r="D37" s="49" t="str">
        <f>IF(COUNTIF(RESUMO!$B:$B,DIÁRIO!D1)&lt;&gt;1,"Erro",VLOOKUP(DIÁRIO!D1,RESUMO!$B$2:$H$30,7))</f>
        <v>-</v>
      </c>
      <c r="E37" s="49" t="str">
        <f>IF(COUNTIF(RESUMO!$B:$B,DIÁRIO!E1)&lt;&gt;1,"Erro",VLOOKUP(DIÁRIO!E1,RESUMO!$B$2:$H$30,7))</f>
        <v>-</v>
      </c>
      <c r="F37" s="49" t="str">
        <f>IF(COUNTIF(RESUMO!$B:$B,DIÁRIO!F1)&lt;&gt;1,"Erro",VLOOKUP(DIÁRIO!F1,RESUMO!$B$2:$H$30,7))</f>
        <v>-</v>
      </c>
      <c r="G37" s="49" t="str">
        <f>IF(COUNTIF(RESUMO!$B:$B,DIÁRIO!G1)&lt;&gt;1,"Erro",VLOOKUP(DIÁRIO!G1,RESUMO!$B$2:$H$30,7))</f>
        <v>-</v>
      </c>
      <c r="H37" s="49" t="str">
        <f>IF(COUNTIF(RESUMO!$B:$B,DIÁRIO!H1)&lt;&gt;1,"Erro",VLOOKUP(DIÁRIO!H1,RESUMO!$B$2:$H$30,7))</f>
        <v>-</v>
      </c>
      <c r="I37" s="49" t="str">
        <f>IF(COUNTIF(RESUMO!$B:$B,DIÁRIO!I1)&lt;&gt;1,"Erro",VLOOKUP(DIÁRIO!I1,RESUMO!$B$2:$H$30,7))</f>
        <v>-</v>
      </c>
      <c r="J37" s="49" t="str">
        <f>IF(COUNTIF(RESUMO!$B:$B,DIÁRIO!J1)&lt;&gt;1,"Erro",VLOOKUP(DIÁRIO!J1,RESUMO!$B$2:$H$30,7))</f>
        <v>-</v>
      </c>
      <c r="K37" s="49" t="str">
        <f>IF(COUNTIF(RESUMO!$B:$B,DIÁRIO!K1)&lt;&gt;1,"Erro",VLOOKUP(DIÁRIO!K1,RESUMO!$B$2:$H$30,7))</f>
        <v>-</v>
      </c>
      <c r="L37" s="49" t="str">
        <f>IF(COUNTIF(RESUMO!$B:$B,DIÁRIO!L1)&lt;&gt;1,"Erro",VLOOKUP(DIÁRIO!L1,RESUMO!$B$2:$H$30,7))</f>
        <v>-</v>
      </c>
      <c r="M37" s="49" t="str">
        <f>IF(COUNTIF(RESUMO!$B:$B,DIÁRIO!M1)&lt;&gt;1,"Erro",VLOOKUP(DIÁRIO!M1,RESUMO!$B$2:$H$30,7))</f>
        <v>-</v>
      </c>
      <c r="N37" s="49" t="str">
        <f>IF(COUNTIF(RESUMO!$B:$B,DIÁRIO!N1)&lt;&gt;1,"Erro",VLOOKUP(DIÁRIO!N1,RESUMO!$B$2:$H$30,7))</f>
        <v>ESTUDAR</v>
      </c>
      <c r="O37" s="49" t="str">
        <f>IF(COUNTIF(RESUMO!$B:$B,DIÁRIO!O1)&lt;&gt;1,"Erro",VLOOKUP(DIÁRIO!O1,RESUMO!$B$2:$H$30,7))</f>
        <v>-</v>
      </c>
      <c r="P37" s="49" t="str">
        <f>IF(COUNTIF(RESUMO!$B:$B,DIÁRIO!P1)&lt;&gt;1,"Erro",VLOOKUP(DIÁRIO!P1,RESUMO!$B$2:$H$30,7))</f>
        <v>-</v>
      </c>
      <c r="Q37" s="49" t="str">
        <f>IF(COUNTIF(RESUMO!$B:$B,DIÁRIO!Q1)&lt;&gt;1,"Erro",VLOOKUP(DIÁRIO!Q1,RESUMO!$B$2:$H$30,7))</f>
        <v>-</v>
      </c>
      <c r="R37" s="49" t="str">
        <f>IF(COUNTIF(RESUMO!$B:$B,DIÁRIO!R1)&lt;&gt;1,"Erro",VLOOKUP(DIÁRIO!R1,RESUMO!$B$2:$H$30,7))</f>
        <v>-</v>
      </c>
      <c r="S37" s="49" t="str">
        <f>IF(COUNTIF(RESUMO!$B:$B,DIÁRIO!S1)&lt;&gt;1,"Erro",VLOOKUP(DIÁRIO!S1,RESUMO!$B$2:$H$30,7))</f>
        <v>-</v>
      </c>
      <c r="T37" s="49" t="str">
        <f>IF(COUNTIF(RESUMO!$B:$B,DIÁRIO!T1)&lt;&gt;1,"Erro",VLOOKUP(DIÁRIO!T1,RESUMO!$B$2:$H$30,7))</f>
        <v>-</v>
      </c>
      <c r="U37" s="49" t="str">
        <f>IF(COUNTIF(RESUMO!$B:$B,DIÁRIO!U1)&lt;&gt;1,"Erro",VLOOKUP(DIÁRIO!U1,RESUMO!$B$2:$H$30,7))</f>
        <v>-</v>
      </c>
      <c r="V37" s="49" t="str">
        <f>IF(COUNTIF(RESUMO!$B:$B,DIÁRIO!V1)&lt;&gt;1,"Erro",VLOOKUP(DIÁRIO!V1,RESUMO!$B$2:$H$30,7))</f>
        <v>-</v>
      </c>
      <c r="W37" s="49" t="str">
        <f>IF(COUNTIF(RESUMO!$B:$B,DIÁRIO!W1)&lt;&gt;1,"Erro",VLOOKUP(DIÁRIO!W1,RESUMO!$B$2:$H$30,7))</f>
        <v>-</v>
      </c>
      <c r="X37" s="49" t="str">
        <f>IF(COUNTIF(RESUMO!$B:$B,DIÁRIO!X1)&lt;&gt;1,"Erro",VLOOKUP(DIÁRIO!X1,RESUMO!$B$2:$H$30,7))</f>
        <v>-</v>
      </c>
      <c r="Y37" s="49" t="str">
        <f>IF(COUNTIF(RESUMO!$B:$B,DIÁRIO!Y1)&lt;&gt;1,"Erro",VLOOKUP(DIÁRIO!Y1,RESUMO!$B$2:$H$30,7))</f>
        <v>-</v>
      </c>
      <c r="Z37" s="49" t="str">
        <f>IF(COUNTIF(RESUMO!$B:$B,DIÁRIO!Z1)&lt;&gt;1,"Erro",VLOOKUP(DIÁRIO!Z1,RESUMO!$B$2:$H$30,7))</f>
        <v>-</v>
      </c>
      <c r="AA37" s="49" t="str">
        <f>IF(COUNTIF(RESUMO!$B:$B,DIÁRIO!AA1)&lt;&gt;1,"Erro",VLOOKUP(DIÁRIO!AA1,RESUMO!$B$2:$H$30,7))</f>
        <v>-</v>
      </c>
      <c r="AB37" s="49" t="str">
        <f>IF(COUNTIF(RESUMO!$B:$B,DIÁRIO!AB1)&lt;&gt;1,"Erro",VLOOKUP(DIÁRIO!AB1,RESUMO!$B$2:$H$30,7))</f>
        <v>-</v>
      </c>
      <c r="AC37" s="49">
        <f>IF(COUNTIF(RESUMO!$B:$B,DIÁRIO!AC1)&lt;&gt;1,"Erro",VLOOKUP(DIÁRIO!AC1,RESUMO!$B$2:$H$30,7))</f>
        <v>0</v>
      </c>
      <c r="AD37" s="49" t="str">
        <f>IF(COUNTIF(RESUMO!$B:$B,DIÁRIO!AD1)&lt;&gt;1,"Erro",VLOOKUP(DIÁRIO!AD1,RESUMO!$B$2:$H$30,7))</f>
        <v>-</v>
      </c>
      <c r="AL37" s="42"/>
      <c r="AM37" s="42"/>
    </row>
    <row r="38" spans="1:48" x14ac:dyDescent="0.25">
      <c r="A38" s="40" t="s">
        <v>28</v>
      </c>
      <c r="B38" s="50">
        <f t="shared" ref="B38:AC38" si="29">SUM(B2:B33)</f>
        <v>0</v>
      </c>
      <c r="C38" s="50">
        <f t="shared" si="29"/>
        <v>0</v>
      </c>
      <c r="D38" s="50">
        <f t="shared" si="29"/>
        <v>0</v>
      </c>
      <c r="E38" s="50">
        <f t="shared" si="29"/>
        <v>0</v>
      </c>
      <c r="F38" s="50">
        <f t="shared" si="29"/>
        <v>2.6944444444444441E-2</v>
      </c>
      <c r="G38" s="50">
        <f t="shared" si="29"/>
        <v>0</v>
      </c>
      <c r="H38" s="50">
        <f t="shared" si="29"/>
        <v>0</v>
      </c>
      <c r="I38" s="50">
        <f t="shared" si="29"/>
        <v>0</v>
      </c>
      <c r="J38" s="50">
        <f t="shared" si="29"/>
        <v>0</v>
      </c>
      <c r="K38" s="50">
        <f t="shared" si="29"/>
        <v>0</v>
      </c>
      <c r="L38" s="50">
        <f t="shared" si="29"/>
        <v>0</v>
      </c>
      <c r="M38" s="50">
        <f t="shared" si="29"/>
        <v>0</v>
      </c>
      <c r="N38" s="50">
        <f t="shared" si="29"/>
        <v>3.4722222222222224E-2</v>
      </c>
      <c r="O38" s="50">
        <f t="shared" si="29"/>
        <v>0</v>
      </c>
      <c r="P38" s="50">
        <f t="shared" si="29"/>
        <v>0</v>
      </c>
      <c r="Q38" s="50">
        <f t="shared" si="29"/>
        <v>0</v>
      </c>
      <c r="R38" s="50">
        <f t="shared" si="29"/>
        <v>0</v>
      </c>
      <c r="S38" s="50">
        <f t="shared" si="29"/>
        <v>0</v>
      </c>
      <c r="T38" s="50">
        <f t="shared" si="29"/>
        <v>0</v>
      </c>
      <c r="U38" s="50">
        <f t="shared" si="29"/>
        <v>2.0405092592592593E-2</v>
      </c>
      <c r="V38" s="50">
        <f t="shared" si="29"/>
        <v>0</v>
      </c>
      <c r="W38" s="50">
        <f t="shared" si="29"/>
        <v>0</v>
      </c>
      <c r="X38" s="50">
        <f t="shared" si="29"/>
        <v>0</v>
      </c>
      <c r="Y38" s="50">
        <f t="shared" si="29"/>
        <v>0</v>
      </c>
      <c r="Z38" s="50">
        <f t="shared" si="29"/>
        <v>0</v>
      </c>
      <c r="AA38" s="50">
        <f t="shared" si="29"/>
        <v>0</v>
      </c>
      <c r="AB38" s="50">
        <f t="shared" si="29"/>
        <v>0</v>
      </c>
      <c r="AC38" s="50">
        <f t="shared" si="29"/>
        <v>0</v>
      </c>
      <c r="AD38" s="50">
        <f t="shared" ref="AD38" si="30">SUM(AD2:AD33)</f>
        <v>3.8113425925925926E-2</v>
      </c>
    </row>
    <row r="39" spans="1:48" x14ac:dyDescent="0.25">
      <c r="A39" s="40" t="s">
        <v>29</v>
      </c>
      <c r="B39" s="50">
        <f>IF(COUNTIF(RESUMO!$B:$B,DIÁRIO!B1)&lt;&gt;1,"Erro",SUMIF(RESUMO!$B:$B,DIÁRIO!B1,RESUMO!$E:$E))</f>
        <v>0</v>
      </c>
      <c r="C39" s="50">
        <f>IF(COUNTIF(RESUMO!$B:$B,DIÁRIO!C1)&lt;&gt;1,"Erro",SUMIF(RESUMO!$B:$B,DIÁRIO!C1,RESUMO!$E:$E))</f>
        <v>0</v>
      </c>
      <c r="D39" s="50">
        <f>IF(COUNTIF(RESUMO!$B:$B,DIÁRIO!D1)&lt;&gt;1,"Erro",SUMIF(RESUMO!$B:$B,DIÁRIO!D1,RESUMO!$E:$E))</f>
        <v>0</v>
      </c>
      <c r="E39" s="50">
        <f>IF(COUNTIF(RESUMO!$B:$B,DIÁRIO!E1)&lt;&gt;1,"Erro",SUMIF(RESUMO!$B:$B,DIÁRIO!E1,RESUMO!$E:$E))</f>
        <v>0</v>
      </c>
      <c r="F39" s="50">
        <f>IF(COUNTIF(RESUMO!$B:$B,DIÁRIO!F1)&lt;&gt;1,"Erro",SUMIF(RESUMO!$B:$B,DIÁRIO!F1,RESUMO!$E:$E))</f>
        <v>2.6939999999999999E-2</v>
      </c>
      <c r="G39" s="50">
        <f>IF(COUNTIF(RESUMO!$B:$B,DIÁRIO!G1)&lt;&gt;1,"Erro",SUMIF(RESUMO!$B:$B,DIÁRIO!G1,RESUMO!$E:$E))</f>
        <v>0</v>
      </c>
      <c r="H39" s="50">
        <f>IF(COUNTIF(RESUMO!$B:$B,DIÁRIO!H1)&lt;&gt;1,"Erro",SUMIF(RESUMO!$B:$B,DIÁRIO!H1,RESUMO!$E:$E))</f>
        <v>0</v>
      </c>
      <c r="I39" s="50">
        <f>IF(COUNTIF(RESUMO!$B:$B,DIÁRIO!I1)&lt;&gt;1,"Erro",SUMIF(RESUMO!$B:$B,DIÁRIO!I1,RESUMO!$E:$E))</f>
        <v>0</v>
      </c>
      <c r="J39" s="50">
        <f>IF(COUNTIF(RESUMO!$B:$B,DIÁRIO!J1)&lt;&gt;1,"Erro",SUMIF(RESUMO!$B:$B,DIÁRIO!J1,RESUMO!$E:$E))</f>
        <v>0</v>
      </c>
      <c r="K39" s="50">
        <f>IF(COUNTIF(RESUMO!$B:$B,DIÁRIO!K1)&lt;&gt;1,"Erro",SUMIF(RESUMO!$B:$B,DIÁRIO!K1,RESUMO!$E:$E))</f>
        <v>0</v>
      </c>
      <c r="L39" s="50">
        <f>IF(COUNTIF(RESUMO!$B:$B,DIÁRIO!L1)&lt;&gt;1,"Erro",SUMIF(RESUMO!$B:$B,DIÁRIO!L1,RESUMO!$E:$E))</f>
        <v>0</v>
      </c>
      <c r="M39" s="50">
        <f>IF(COUNTIF(RESUMO!$B:$B,DIÁRIO!M1)&lt;&gt;1,"Erro",SUMIF(RESUMO!$B:$B,DIÁRIO!M1,RESUMO!$E:$E))</f>
        <v>0</v>
      </c>
      <c r="N39" s="50">
        <f>IF(COUNTIF(RESUMO!$B:$B,DIÁRIO!N1)&lt;&gt;1,"Erro",SUMIF(RESUMO!$B:$B,DIÁRIO!N1,RESUMO!$E:$E))</f>
        <v>5.8610000000000002E-2</v>
      </c>
      <c r="O39" s="50">
        <f>IF(COUNTIF(RESUMO!$B:$B,DIÁRIO!O1)&lt;&gt;1,"Erro",SUMIF(RESUMO!$B:$B,DIÁRIO!O1,RESUMO!$E:$E))</f>
        <v>0</v>
      </c>
      <c r="P39" s="50">
        <f>IF(COUNTIF(RESUMO!$B:$B,DIÁRIO!P1)&lt;&gt;1,"Erro",SUMIF(RESUMO!$B:$B,DIÁRIO!P1,RESUMO!$E:$E))</f>
        <v>0</v>
      </c>
      <c r="Q39" s="50">
        <f>IF(COUNTIF(RESUMO!$B:$B,DIÁRIO!Q1)&lt;&gt;1,"Erro",SUMIF(RESUMO!$B:$B,DIÁRIO!Q1,RESUMO!$E:$E))</f>
        <v>0</v>
      </c>
      <c r="R39" s="50">
        <f>IF(COUNTIF(RESUMO!$B:$B,DIÁRIO!R1)&lt;&gt;1,"Erro",SUMIF(RESUMO!$B:$B,DIÁRIO!R1,RESUMO!$E:$E))</f>
        <v>0</v>
      </c>
      <c r="S39" s="50">
        <f>IF(COUNTIF(RESUMO!$B:$B,DIÁRIO!S1)&lt;&gt;1,"Erro",SUMIF(RESUMO!$B:$B,DIÁRIO!S1,RESUMO!$E:$E))</f>
        <v>0</v>
      </c>
      <c r="T39" s="50">
        <f>IF(COUNTIF(RESUMO!$B:$B,DIÁRIO!T1)&lt;&gt;1,"Erro",SUMIF(RESUMO!$B:$B,DIÁRIO!T1,RESUMO!$E:$E))</f>
        <v>0</v>
      </c>
      <c r="U39" s="50">
        <f>IF(COUNTIF(RESUMO!$B:$B,DIÁRIO!U1)&lt;&gt;1,"Erro",SUMIF(RESUMO!$B:$B,DIÁRIO!U1,RESUMO!$E:$E))</f>
        <v>2.0400000000000001E-2</v>
      </c>
      <c r="V39" s="50">
        <f>IF(COUNTIF(RESUMO!$B:$B,DIÁRIO!V1)&lt;&gt;1,"Erro",SUMIF(RESUMO!$B:$B,DIÁRIO!V1,RESUMO!$E:$E))</f>
        <v>1.9539999999999998E-2</v>
      </c>
      <c r="W39" s="50">
        <f>IF(COUNTIF(RESUMO!$B:$B,DIÁRIO!W1)&lt;&gt;1,"Erro",SUMIF(RESUMO!$B:$B,DIÁRIO!W1,RESUMO!$E:$E))</f>
        <v>0</v>
      </c>
      <c r="X39" s="50">
        <f>IF(COUNTIF(RESUMO!$B:$B,DIÁRIO!X1)&lt;&gt;1,"Erro",SUMIF(RESUMO!$B:$B,DIÁRIO!X1,RESUMO!$E:$E))</f>
        <v>0</v>
      </c>
      <c r="Y39" s="50">
        <f>IF(COUNTIF(RESUMO!$B:$B,DIÁRIO!Y1)&lt;&gt;1,"Erro",SUMIF(RESUMO!$B:$B,DIÁRIO!Y1,RESUMO!$E:$E))</f>
        <v>0</v>
      </c>
      <c r="Z39" s="50">
        <f>IF(COUNTIF(RESUMO!$B:$B,DIÁRIO!Z1)&lt;&gt;1,"Erro",SUMIF(RESUMO!$B:$B,DIÁRIO!Z1,RESUMO!$E:$E))</f>
        <v>1.9539999999999998E-2</v>
      </c>
      <c r="AA39" s="50">
        <f>IF(COUNTIF(RESUMO!$B:$B,DIÁRIO!AA1)&lt;&gt;1,"Erro",SUMIF(RESUMO!$B:$B,DIÁRIO!AA1,RESUMO!$E:$E))</f>
        <v>1.9539999999999998E-2</v>
      </c>
      <c r="AB39" s="50">
        <f>IF(COUNTIF(RESUMO!$B:$B,DIÁRIO!AB1)&lt;&gt;1,"Erro",SUMIF(RESUMO!$B:$B,DIÁRIO!AB1,RESUMO!$E:$E))</f>
        <v>1.9539999999999998E-2</v>
      </c>
      <c r="AC39" s="50">
        <f>IF(COUNTIF(RESUMO!$B:$B,DIÁRIO!AC1)&lt;&gt;1,"Erro",SUMIF(RESUMO!$B:$B,DIÁRIO!AC1,RESUMO!$E:$E))</f>
        <v>0</v>
      </c>
      <c r="AD39" s="50">
        <f>IF(COUNTIF(RESUMO!$B:$B,DIÁRIO!AD1)&lt;&gt;1,"Erro",SUMIF(RESUMO!$B:$B,DIÁRIO!AD1,RESUMO!$E:$E))</f>
        <v>3.8109999999999998E-2</v>
      </c>
    </row>
    <row r="40" spans="1:48" x14ac:dyDescent="0.25">
      <c r="A40" s="40" t="s">
        <v>34</v>
      </c>
      <c r="B40" s="51" t="str">
        <f>IF(ABS(B38-B39)&lt;0.0001,"",IF(B38&gt;B39,CONCATENATE("-",TEXT(B38-B39,"HH:MM:SS")),""))</f>
        <v/>
      </c>
      <c r="C40" s="51" t="str">
        <f t="shared" ref="C40:AC40" si="31">IF(ABS(C38-C39)&lt;0.0001,"",IF(C38&gt;C39,CONCATENATE("-",TEXT(C38-C39,"HH:MM:SS")),""))</f>
        <v/>
      </c>
      <c r="D40" s="51" t="str">
        <f t="shared" si="31"/>
        <v/>
      </c>
      <c r="E40" s="51" t="str">
        <f t="shared" si="31"/>
        <v/>
      </c>
      <c r="F40" s="51" t="str">
        <f t="shared" si="31"/>
        <v/>
      </c>
      <c r="G40" s="51" t="str">
        <f t="shared" si="31"/>
        <v/>
      </c>
      <c r="H40" s="51" t="str">
        <f t="shared" si="31"/>
        <v/>
      </c>
      <c r="I40" s="51" t="str">
        <f t="shared" si="31"/>
        <v/>
      </c>
      <c r="J40" s="51" t="str">
        <f t="shared" si="31"/>
        <v/>
      </c>
      <c r="K40" s="51" t="str">
        <f t="shared" si="31"/>
        <v/>
      </c>
      <c r="L40" s="51" t="str">
        <f t="shared" si="31"/>
        <v/>
      </c>
      <c r="M40" s="51" t="str">
        <f t="shared" si="31"/>
        <v/>
      </c>
      <c r="N40" s="51" t="str">
        <f t="shared" si="31"/>
        <v/>
      </c>
      <c r="O40" s="51" t="str">
        <f t="shared" si="31"/>
        <v/>
      </c>
      <c r="P40" s="51" t="str">
        <f t="shared" si="31"/>
        <v/>
      </c>
      <c r="Q40" s="51" t="str">
        <f t="shared" si="31"/>
        <v/>
      </c>
      <c r="R40" s="51" t="str">
        <f t="shared" si="31"/>
        <v/>
      </c>
      <c r="S40" s="51" t="str">
        <f t="shared" si="31"/>
        <v/>
      </c>
      <c r="T40" s="51" t="str">
        <f t="shared" si="31"/>
        <v/>
      </c>
      <c r="U40" s="51" t="str">
        <f t="shared" si="31"/>
        <v/>
      </c>
      <c r="V40" s="51" t="str">
        <f t="shared" si="31"/>
        <v/>
      </c>
      <c r="W40" s="51" t="str">
        <f t="shared" si="31"/>
        <v/>
      </c>
      <c r="X40" s="51" t="str">
        <f t="shared" si="31"/>
        <v/>
      </c>
      <c r="Y40" s="51" t="str">
        <f t="shared" si="31"/>
        <v/>
      </c>
      <c r="Z40" s="51" t="str">
        <f t="shared" si="31"/>
        <v/>
      </c>
      <c r="AA40" s="51" t="str">
        <f t="shared" si="31"/>
        <v/>
      </c>
      <c r="AB40" s="51" t="str">
        <f t="shared" si="31"/>
        <v/>
      </c>
      <c r="AC40" s="51" t="str">
        <f t="shared" si="31"/>
        <v/>
      </c>
      <c r="AD40" s="51"/>
      <c r="AO40" s="39"/>
    </row>
    <row r="41" spans="1:48" s="50" customFormat="1" x14ac:dyDescent="0.25"/>
    <row r="42" spans="1:48" s="50" customFormat="1" x14ac:dyDescent="0.25"/>
    <row r="43" spans="1:48" s="50" customFormat="1" x14ac:dyDescent="0.25"/>
    <row r="44" spans="1:48" s="50" customFormat="1" x14ac:dyDescent="0.25"/>
    <row r="45" spans="1:48" s="50" customFormat="1" x14ac:dyDescent="0.25">
      <c r="I45" s="50" t="s">
        <v>35</v>
      </c>
      <c r="J45" s="50" t="s">
        <v>35</v>
      </c>
    </row>
    <row r="46" spans="1:48" s="50" customFormat="1" x14ac:dyDescent="0.25"/>
    <row r="47" spans="1:48" s="50" customFormat="1" x14ac:dyDescent="0.25"/>
  </sheetData>
  <autoFilter ref="AJ1:AJ33">
    <filterColumn colId="0">
      <filters>
        <filter val="HOJE"/>
      </filters>
    </filterColumn>
  </autoFilter>
  <conditionalFormatting sqref="AI2:AI33">
    <cfRule type="cellIs" dxfId="1" priority="5" operator="lessThan">
      <formula>0</formula>
    </cfRule>
  </conditionalFormatting>
  <conditionalFormatting sqref="B35:AD36">
    <cfRule type="cellIs" dxfId="0" priority="4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 filterMode="1"/>
  <dimension ref="A1:AI36"/>
  <sheetViews>
    <sheetView tabSelected="1" zoomScale="75" zoomScaleNormal="75" workbookViewId="0">
      <selection activeCell="H1" sqref="H1"/>
    </sheetView>
  </sheetViews>
  <sheetFormatPr defaultColWidth="23.5703125" defaultRowHeight="23.25" x14ac:dyDescent="0.25"/>
  <cols>
    <col min="1" max="1" width="18.5703125" style="56" customWidth="1"/>
    <col min="2" max="2" width="105.42578125" style="19" customWidth="1"/>
    <col min="3" max="3" width="24.7109375" style="77" hidden="1" customWidth="1"/>
    <col min="4" max="4" width="11.7109375" style="17" hidden="1" customWidth="1"/>
    <col min="5" max="5" width="27.5703125" style="15" hidden="1" customWidth="1"/>
    <col min="6" max="6" width="33.85546875" style="15" hidden="1" customWidth="1"/>
    <col min="7" max="7" width="16.28515625" style="15" customWidth="1"/>
    <col min="8" max="8" width="25.42578125" style="17" bestFit="1" customWidth="1"/>
    <col min="9" max="9" width="19.42578125" style="77" bestFit="1" customWidth="1"/>
    <col min="10" max="11" width="18.28515625" style="17" bestFit="1" customWidth="1"/>
    <col min="12" max="12" width="43" style="17" bestFit="1" customWidth="1"/>
    <col min="13" max="13" width="18.28515625" style="17" bestFit="1" customWidth="1"/>
    <col min="14" max="15" width="16" style="17" bestFit="1" customWidth="1"/>
    <col min="16" max="16" width="23.5703125" style="17"/>
    <col min="17" max="17" width="14.85546875" style="17" bestFit="1" customWidth="1"/>
    <col min="18" max="16384" width="23.5703125" style="17"/>
  </cols>
  <sheetData>
    <row r="1" spans="1:35" s="14" customFormat="1" x14ac:dyDescent="0.25">
      <c r="A1" s="53" t="s">
        <v>36</v>
      </c>
      <c r="B1" s="23" t="s">
        <v>37</v>
      </c>
      <c r="C1" s="77" t="s">
        <v>38</v>
      </c>
      <c r="D1" s="14" t="s">
        <v>39</v>
      </c>
      <c r="E1" s="15" t="s">
        <v>40</v>
      </c>
      <c r="F1" s="15" t="s">
        <v>41</v>
      </c>
      <c r="G1" s="24" t="s">
        <v>42</v>
      </c>
      <c r="H1" s="23" t="s">
        <v>43</v>
      </c>
      <c r="I1" s="77">
        <f>SUBTOTAL(9,C:C)</f>
        <v>3</v>
      </c>
      <c r="J1" s="15">
        <f>LARGE(G:G,1)</f>
        <v>2.3887777777777779E-2</v>
      </c>
      <c r="K1" s="15">
        <f>LARGE(G:G,3)</f>
        <v>1.9539999999999998E-2</v>
      </c>
      <c r="L1" s="14" t="s">
        <v>44</v>
      </c>
      <c r="M1" s="15">
        <f>J1-K1</f>
        <v>4.3477777777777803E-3</v>
      </c>
      <c r="N1" s="16">
        <f>SUM(C:C)</f>
        <v>11.373933667699049</v>
      </c>
      <c r="O1" s="16">
        <f>SUM(DIÁRIO!AF:AF)*24</f>
        <v>5.3333333333333339</v>
      </c>
      <c r="Q1" s="14" t="str">
        <f>LOOKUP("ESTUDAR",H:H)</f>
        <v>ESTUDAR</v>
      </c>
      <c r="S1" s="22" t="s">
        <v>45</v>
      </c>
      <c r="AI1" s="17"/>
    </row>
    <row r="2" spans="1:35" hidden="1" x14ac:dyDescent="0.25">
      <c r="A2" s="54">
        <v>1</v>
      </c>
      <c r="B2" s="62" t="s">
        <v>1</v>
      </c>
      <c r="D2" s="58">
        <f>C2/$N$1</f>
        <v>0</v>
      </c>
      <c r="E2" s="59">
        <f>ROUND(D2*$O$1/24,5)</f>
        <v>0</v>
      </c>
      <c r="F2" s="59">
        <f>HLOOKUP(B2,DIÁRIO!$B$1:$AD$38,38,FALSE)</f>
        <v>0</v>
      </c>
      <c r="G2" s="59">
        <f>IF(E2&gt;F2,E2-F2,0)</f>
        <v>0</v>
      </c>
      <c r="H2" s="60" t="str">
        <f>IF(G2=LARGE(G:G,1),"ESTUDAR","-")</f>
        <v>-</v>
      </c>
      <c r="I2" s="77" t="str">
        <f>IF(OR(ISBLANK(C2),C2=0,E2=0),"",F2*24/$O$1*$N$1)</f>
        <v/>
      </c>
      <c r="AI2" s="60"/>
    </row>
    <row r="3" spans="1:35" hidden="1" x14ac:dyDescent="0.25">
      <c r="A3" s="54">
        <v>2</v>
      </c>
      <c r="B3" s="62" t="s">
        <v>2</v>
      </c>
      <c r="D3" s="58">
        <f t="shared" ref="D3:D29" si="0">C3/$N$1</f>
        <v>0</v>
      </c>
      <c r="E3" s="59">
        <f t="shared" ref="E3:E29" si="1">ROUND(D3*$O$1/24,5)</f>
        <v>0</v>
      </c>
      <c r="F3" s="59">
        <f>HLOOKUP(B3,DIÁRIO!$B$1:$AD$38,38,FALSE)</f>
        <v>0</v>
      </c>
      <c r="G3" s="59">
        <f t="shared" ref="G3:G29" si="2">IF(E3&gt;F3,E3-F3,0)</f>
        <v>0</v>
      </c>
      <c r="H3" s="60" t="str">
        <f t="shared" ref="H3:H29" si="3">IF(G3=LARGE(G:G,1),"ESTUDAR","-")</f>
        <v>-</v>
      </c>
      <c r="I3" s="77" t="str">
        <f t="shared" ref="I3:I30" si="4">IF(OR(ISBLANK(C3),C3=0,E3=0),"",F3*24/$O$1*$N$1)</f>
        <v/>
      </c>
      <c r="AI3" s="60"/>
    </row>
    <row r="4" spans="1:35" hidden="1" x14ac:dyDescent="0.25">
      <c r="A4" s="54">
        <v>3</v>
      </c>
      <c r="B4" s="62" t="s">
        <v>3</v>
      </c>
      <c r="D4" s="58">
        <f t="shared" si="0"/>
        <v>0</v>
      </c>
      <c r="E4" s="59">
        <f t="shared" si="1"/>
        <v>0</v>
      </c>
      <c r="F4" s="59">
        <f>HLOOKUP(B4,DIÁRIO!$B$1:$AD$38,38,FALSE)</f>
        <v>0</v>
      </c>
      <c r="G4" s="59">
        <f t="shared" si="2"/>
        <v>0</v>
      </c>
      <c r="H4" s="60" t="str">
        <f t="shared" si="3"/>
        <v>-</v>
      </c>
      <c r="I4" s="77" t="str">
        <f t="shared" si="4"/>
        <v/>
      </c>
      <c r="AI4" s="60"/>
    </row>
    <row r="5" spans="1:35" s="60" customFormat="1" hidden="1" x14ac:dyDescent="0.25">
      <c r="A5" s="18">
        <v>4</v>
      </c>
      <c r="B5" s="63" t="s">
        <v>4</v>
      </c>
      <c r="C5" s="78"/>
      <c r="D5" s="58">
        <f t="shared" si="0"/>
        <v>0</v>
      </c>
      <c r="E5" s="59">
        <f t="shared" si="1"/>
        <v>0</v>
      </c>
      <c r="F5" s="59">
        <f>HLOOKUP(B5,DIÁRIO!$B$1:$AD$38,38,FALSE)</f>
        <v>0</v>
      </c>
      <c r="G5" s="59">
        <f t="shared" si="2"/>
        <v>0</v>
      </c>
      <c r="H5" s="60" t="str">
        <f t="shared" si="3"/>
        <v>-</v>
      </c>
      <c r="I5" s="77" t="str">
        <f t="shared" si="4"/>
        <v/>
      </c>
    </row>
    <row r="6" spans="1:35" hidden="1" x14ac:dyDescent="0.25">
      <c r="A6" s="54">
        <v>5</v>
      </c>
      <c r="B6" s="62" t="s">
        <v>5</v>
      </c>
      <c r="C6" s="77">
        <v>1.3789336225505866</v>
      </c>
      <c r="D6" s="58">
        <f t="shared" si="0"/>
        <v>0.12123629896547</v>
      </c>
      <c r="E6" s="59">
        <f t="shared" si="1"/>
        <v>2.6939999999999999E-2</v>
      </c>
      <c r="F6" s="59">
        <f>HLOOKUP(B6,DIÁRIO!$B$1:$AD$38,38,FALSE)</f>
        <v>2.6944444444444441E-2</v>
      </c>
      <c r="G6" s="59">
        <f t="shared" si="2"/>
        <v>0</v>
      </c>
      <c r="H6" s="60" t="str">
        <f t="shared" si="3"/>
        <v>-</v>
      </c>
      <c r="I6" s="77">
        <f t="shared" si="4"/>
        <v>1.3790894572085095</v>
      </c>
      <c r="AI6" s="60"/>
    </row>
    <row r="7" spans="1:35" hidden="1" x14ac:dyDescent="0.25">
      <c r="A7" s="54">
        <v>6</v>
      </c>
      <c r="B7" s="62" t="s">
        <v>6</v>
      </c>
      <c r="D7" s="58">
        <f t="shared" si="0"/>
        <v>0</v>
      </c>
      <c r="E7" s="59">
        <f t="shared" si="1"/>
        <v>0</v>
      </c>
      <c r="F7" s="59">
        <f>HLOOKUP(B7,DIÁRIO!$B$1:$AD$38,38,FALSE)</f>
        <v>0</v>
      </c>
      <c r="G7" s="59">
        <f t="shared" si="2"/>
        <v>0</v>
      </c>
      <c r="H7" s="60" t="str">
        <f t="shared" si="3"/>
        <v>-</v>
      </c>
      <c r="I7" s="77" t="str">
        <f t="shared" si="4"/>
        <v/>
      </c>
      <c r="AI7" s="60"/>
    </row>
    <row r="8" spans="1:35" s="60" customFormat="1" hidden="1" x14ac:dyDescent="0.25">
      <c r="A8" s="18">
        <v>7</v>
      </c>
      <c r="B8" s="63" t="s">
        <v>7</v>
      </c>
      <c r="C8" s="78"/>
      <c r="D8" s="58">
        <f t="shared" si="0"/>
        <v>0</v>
      </c>
      <c r="E8" s="59">
        <f t="shared" si="1"/>
        <v>0</v>
      </c>
      <c r="F8" s="59">
        <f>HLOOKUP(B8,DIÁRIO!$B$1:$AD$38,38,FALSE)</f>
        <v>0</v>
      </c>
      <c r="G8" s="59">
        <f t="shared" si="2"/>
        <v>0</v>
      </c>
      <c r="H8" s="60" t="str">
        <f t="shared" si="3"/>
        <v>-</v>
      </c>
      <c r="I8" s="77" t="str">
        <f t="shared" si="4"/>
        <v/>
      </c>
    </row>
    <row r="9" spans="1:35" hidden="1" x14ac:dyDescent="0.25">
      <c r="A9" s="54">
        <v>8</v>
      </c>
      <c r="B9" s="62" t="s">
        <v>8</v>
      </c>
      <c r="C9" s="79"/>
      <c r="D9" s="58">
        <f t="shared" si="0"/>
        <v>0</v>
      </c>
      <c r="E9" s="59">
        <f t="shared" si="1"/>
        <v>0</v>
      </c>
      <c r="F9" s="59">
        <f>HLOOKUP(B9,DIÁRIO!$B$1:$AD$38,38,FALSE)</f>
        <v>0</v>
      </c>
      <c r="G9" s="59">
        <f t="shared" si="2"/>
        <v>0</v>
      </c>
      <c r="H9" s="60" t="str">
        <f t="shared" si="3"/>
        <v>-</v>
      </c>
      <c r="I9" s="77" t="str">
        <f t="shared" si="4"/>
        <v/>
      </c>
      <c r="AI9" s="60"/>
    </row>
    <row r="10" spans="1:35" hidden="1" x14ac:dyDescent="0.25">
      <c r="A10" s="54">
        <v>9</v>
      </c>
      <c r="B10" s="62" t="s">
        <v>9</v>
      </c>
      <c r="D10" s="58">
        <f t="shared" si="0"/>
        <v>0</v>
      </c>
      <c r="E10" s="59">
        <f t="shared" si="1"/>
        <v>0</v>
      </c>
      <c r="F10" s="59">
        <f>HLOOKUP(B10,DIÁRIO!$B$1:$AD$38,38,FALSE)</f>
        <v>0</v>
      </c>
      <c r="G10" s="59">
        <f t="shared" si="2"/>
        <v>0</v>
      </c>
      <c r="H10" s="60" t="str">
        <f t="shared" si="3"/>
        <v>-</v>
      </c>
      <c r="I10" s="77" t="str">
        <f t="shared" si="4"/>
        <v/>
      </c>
      <c r="AI10" s="60"/>
    </row>
    <row r="11" spans="1:35" s="60" customFormat="1" hidden="1" x14ac:dyDescent="0.25">
      <c r="A11" s="18">
        <v>10</v>
      </c>
      <c r="B11" s="63" t="s">
        <v>10</v>
      </c>
      <c r="C11" s="78"/>
      <c r="D11" s="58">
        <f t="shared" si="0"/>
        <v>0</v>
      </c>
      <c r="E11" s="59">
        <f t="shared" si="1"/>
        <v>0</v>
      </c>
      <c r="F11" s="59">
        <f>HLOOKUP(B11,DIÁRIO!$B$1:$AD$38,38,FALSE)</f>
        <v>0</v>
      </c>
      <c r="G11" s="59">
        <f t="shared" si="2"/>
        <v>0</v>
      </c>
      <c r="H11" s="60" t="str">
        <f t="shared" si="3"/>
        <v>-</v>
      </c>
      <c r="I11" s="77" t="str">
        <f t="shared" si="4"/>
        <v/>
      </c>
    </row>
    <row r="12" spans="1:35" s="60" customFormat="1" hidden="1" x14ac:dyDescent="0.25">
      <c r="A12" s="18">
        <v>11</v>
      </c>
      <c r="B12" s="63" t="s">
        <v>11</v>
      </c>
      <c r="C12" s="78"/>
      <c r="D12" s="58">
        <f t="shared" si="0"/>
        <v>0</v>
      </c>
      <c r="E12" s="59">
        <f t="shared" si="1"/>
        <v>0</v>
      </c>
      <c r="F12" s="59">
        <f>HLOOKUP(B12,DIÁRIO!$B$1:$AD$38,38,FALSE)</f>
        <v>0</v>
      </c>
      <c r="G12" s="59">
        <f t="shared" si="2"/>
        <v>0</v>
      </c>
      <c r="H12" s="60" t="str">
        <f t="shared" si="3"/>
        <v>-</v>
      </c>
      <c r="I12" s="77" t="str">
        <f t="shared" si="4"/>
        <v/>
      </c>
    </row>
    <row r="13" spans="1:35" s="60" customFormat="1" hidden="1" x14ac:dyDescent="0.25">
      <c r="A13" s="18">
        <v>12</v>
      </c>
      <c r="B13" s="63" t="s">
        <v>12</v>
      </c>
      <c r="C13" s="78"/>
      <c r="D13" s="58">
        <f t="shared" si="0"/>
        <v>0</v>
      </c>
      <c r="E13" s="59">
        <f t="shared" si="1"/>
        <v>0</v>
      </c>
      <c r="F13" s="59">
        <f>HLOOKUP(B13,DIÁRIO!$B$1:$AD$38,38,FALSE)</f>
        <v>0</v>
      </c>
      <c r="G13" s="59">
        <f t="shared" si="2"/>
        <v>0</v>
      </c>
      <c r="H13" s="60" t="str">
        <f t="shared" si="3"/>
        <v>-</v>
      </c>
      <c r="I13" s="77" t="str">
        <f t="shared" si="4"/>
        <v/>
      </c>
    </row>
    <row r="14" spans="1:35" s="60" customFormat="1" hidden="1" x14ac:dyDescent="0.25">
      <c r="A14" s="57">
        <v>14</v>
      </c>
      <c r="B14" s="64" t="s">
        <v>13</v>
      </c>
      <c r="C14" s="78"/>
      <c r="D14" s="58">
        <f t="shared" si="0"/>
        <v>0</v>
      </c>
      <c r="E14" s="59">
        <f t="shared" si="1"/>
        <v>0</v>
      </c>
      <c r="F14" s="59">
        <f>HLOOKUP(B14,DIÁRIO!$B$1:$AD$38,38,FALSE)</f>
        <v>0</v>
      </c>
      <c r="G14" s="59">
        <f t="shared" si="2"/>
        <v>0</v>
      </c>
      <c r="H14" s="60" t="str">
        <f t="shared" si="3"/>
        <v>-</v>
      </c>
      <c r="I14" s="77" t="str">
        <f t="shared" si="4"/>
        <v/>
      </c>
      <c r="S14" s="60">
        <v>0</v>
      </c>
    </row>
    <row r="15" spans="1:35" s="60" customFormat="1" hidden="1" x14ac:dyDescent="0.25">
      <c r="A15" s="57">
        <v>15</v>
      </c>
      <c r="B15" s="64" t="s">
        <v>14</v>
      </c>
      <c r="C15" s="78"/>
      <c r="D15" s="58">
        <f t="shared" si="0"/>
        <v>0</v>
      </c>
      <c r="E15" s="59">
        <f t="shared" si="1"/>
        <v>0</v>
      </c>
      <c r="F15" s="59">
        <f>HLOOKUP(B15,DIÁRIO!$B$1:$AD$38,38,FALSE)</f>
        <v>0</v>
      </c>
      <c r="G15" s="59">
        <f t="shared" si="2"/>
        <v>0</v>
      </c>
      <c r="H15" s="60" t="str">
        <f t="shared" si="3"/>
        <v>-</v>
      </c>
      <c r="I15" s="77" t="str">
        <f t="shared" si="4"/>
        <v/>
      </c>
      <c r="S15" s="60">
        <v>0</v>
      </c>
    </row>
    <row r="16" spans="1:35" s="60" customFormat="1" hidden="1" x14ac:dyDescent="0.25">
      <c r="A16" s="57">
        <v>16</v>
      </c>
      <c r="B16" s="64" t="s">
        <v>15</v>
      </c>
      <c r="C16" s="78"/>
      <c r="D16" s="58">
        <f t="shared" si="0"/>
        <v>0</v>
      </c>
      <c r="E16" s="59">
        <f t="shared" si="1"/>
        <v>0</v>
      </c>
      <c r="F16" s="59">
        <f>HLOOKUP(B16,DIÁRIO!$B$1:$AD$38,38,FALSE)</f>
        <v>0</v>
      </c>
      <c r="G16" s="59">
        <f t="shared" si="2"/>
        <v>0</v>
      </c>
      <c r="H16" s="60" t="str">
        <f t="shared" si="3"/>
        <v>-</v>
      </c>
      <c r="I16" s="77" t="str">
        <f t="shared" si="4"/>
        <v/>
      </c>
      <c r="S16" s="60">
        <v>0</v>
      </c>
    </row>
    <row r="17" spans="1:35" s="60" customFormat="1" hidden="1" x14ac:dyDescent="0.25">
      <c r="A17" s="57">
        <v>17</v>
      </c>
      <c r="B17" s="64" t="s">
        <v>16</v>
      </c>
      <c r="C17" s="78"/>
      <c r="D17" s="58">
        <f t="shared" si="0"/>
        <v>0</v>
      </c>
      <c r="E17" s="59">
        <f t="shared" si="1"/>
        <v>0</v>
      </c>
      <c r="F17" s="59">
        <f>HLOOKUP(B17,DIÁRIO!$B$1:$AD$38,38,FALSE)</f>
        <v>0</v>
      </c>
      <c r="G17" s="59">
        <f t="shared" si="2"/>
        <v>0</v>
      </c>
      <c r="H17" s="60" t="str">
        <f t="shared" si="3"/>
        <v>-</v>
      </c>
      <c r="I17" s="77" t="str">
        <f t="shared" si="4"/>
        <v/>
      </c>
      <c r="S17" s="60">
        <v>0</v>
      </c>
    </row>
    <row r="18" spans="1:35" s="60" customFormat="1" hidden="1" x14ac:dyDescent="0.25">
      <c r="A18" s="55">
        <v>18</v>
      </c>
      <c r="B18" s="65" t="s">
        <v>17</v>
      </c>
      <c r="C18" s="79"/>
      <c r="D18" s="58">
        <f t="shared" si="0"/>
        <v>0</v>
      </c>
      <c r="E18" s="59">
        <f t="shared" si="1"/>
        <v>0</v>
      </c>
      <c r="F18" s="59">
        <f>HLOOKUP(B18,DIÁRIO!$B$1:$AD$38,38,FALSE)</f>
        <v>0</v>
      </c>
      <c r="G18" s="59">
        <f t="shared" si="2"/>
        <v>0</v>
      </c>
      <c r="H18" s="60" t="str">
        <f t="shared" si="3"/>
        <v>-</v>
      </c>
      <c r="I18" s="77" t="str">
        <f t="shared" si="4"/>
        <v/>
      </c>
      <c r="J18" s="17"/>
      <c r="K18" s="17"/>
      <c r="L18" s="17"/>
      <c r="M18" s="17"/>
      <c r="N18" s="17"/>
      <c r="O18" s="17"/>
      <c r="P18" s="17"/>
      <c r="Q18" s="17"/>
      <c r="R18" s="17"/>
      <c r="S18" s="17">
        <v>0</v>
      </c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</row>
    <row r="19" spans="1:35" hidden="1" x14ac:dyDescent="0.25">
      <c r="A19" s="57">
        <v>19</v>
      </c>
      <c r="B19" s="64" t="s">
        <v>18</v>
      </c>
      <c r="C19" s="78"/>
      <c r="D19" s="58">
        <f t="shared" si="0"/>
        <v>0</v>
      </c>
      <c r="E19" s="59">
        <f t="shared" si="1"/>
        <v>0</v>
      </c>
      <c r="F19" s="59">
        <f>HLOOKUP(B19,DIÁRIO!$B$1:$AD$38,38,FALSE)</f>
        <v>0</v>
      </c>
      <c r="G19" s="59">
        <f t="shared" si="2"/>
        <v>0</v>
      </c>
      <c r="H19" s="60" t="str">
        <f t="shared" si="3"/>
        <v>-</v>
      </c>
      <c r="I19" s="77" t="str">
        <f t="shared" si="4"/>
        <v/>
      </c>
      <c r="J19" s="60"/>
      <c r="K19" s="60"/>
      <c r="L19" s="60"/>
      <c r="M19" s="60"/>
      <c r="N19" s="60"/>
      <c r="O19" s="60"/>
      <c r="P19" s="60"/>
      <c r="Q19" s="60"/>
      <c r="R19" s="60"/>
      <c r="S19" s="60">
        <v>0</v>
      </c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</row>
    <row r="20" spans="1:35" s="60" customFormat="1" hidden="1" x14ac:dyDescent="0.25">
      <c r="A20" s="55">
        <v>29</v>
      </c>
      <c r="B20" s="66" t="s">
        <v>63</v>
      </c>
      <c r="C20" s="79">
        <v>1.9506267166228783</v>
      </c>
      <c r="D20" s="58">
        <f t="shared" si="0"/>
        <v>0.17149974438153118</v>
      </c>
      <c r="E20" s="59">
        <f t="shared" si="1"/>
        <v>3.8109999999999998E-2</v>
      </c>
      <c r="F20" s="59">
        <f>HLOOKUP(B20,DIÁRIO!$B$1:$AD$38,38,FALSE)</f>
        <v>3.8113425925925926E-2</v>
      </c>
      <c r="G20" s="59">
        <f t="shared" si="2"/>
        <v>0</v>
      </c>
      <c r="H20" s="60" t="str">
        <f t="shared" si="3"/>
        <v>-</v>
      </c>
      <c r="I20" s="77">
        <f t="shared" si="4"/>
        <v>1.9507481024860918</v>
      </c>
      <c r="J20" s="17"/>
      <c r="K20" s="17"/>
      <c r="L20" s="31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</row>
    <row r="21" spans="1:35" hidden="1" x14ac:dyDescent="0.25">
      <c r="A21" s="55">
        <v>20</v>
      </c>
      <c r="B21" s="65" t="s">
        <v>19</v>
      </c>
      <c r="C21" s="79">
        <v>1.0443733285255845</v>
      </c>
      <c r="D21" s="58">
        <f t="shared" si="0"/>
        <v>9.18216475529052E-2</v>
      </c>
      <c r="E21" s="59">
        <f t="shared" si="1"/>
        <v>2.0400000000000001E-2</v>
      </c>
      <c r="F21" s="59">
        <f>HLOOKUP(B21,DIÁRIO!$B$1:$AD$38,38,FALSE)</f>
        <v>2.0405092592592593E-2</v>
      </c>
      <c r="G21" s="59">
        <f t="shared" si="2"/>
        <v>0</v>
      </c>
      <c r="H21" s="60" t="str">
        <f t="shared" si="3"/>
        <v>-</v>
      </c>
      <c r="I21" s="77">
        <f t="shared" si="4"/>
        <v>1.0443877633413241</v>
      </c>
      <c r="J21" s="15"/>
      <c r="S21" s="17">
        <v>0</v>
      </c>
    </row>
    <row r="22" spans="1:35" hidden="1" x14ac:dyDescent="0.25">
      <c r="A22" s="55">
        <v>21</v>
      </c>
      <c r="B22" s="65" t="s">
        <v>20</v>
      </c>
      <c r="C22" s="79">
        <v>1</v>
      </c>
      <c r="D22" s="58">
        <f t="shared" si="0"/>
        <v>8.7920329871441952E-2</v>
      </c>
      <c r="E22" s="59">
        <f t="shared" si="1"/>
        <v>1.9539999999999998E-2</v>
      </c>
      <c r="F22" s="59">
        <f>HLOOKUP(B22,DIÁRIO!$B$1:$AD$38,38,FALSE)</f>
        <v>0</v>
      </c>
      <c r="G22" s="59">
        <f t="shared" si="2"/>
        <v>1.9539999999999998E-2</v>
      </c>
      <c r="H22" s="60" t="str">
        <f t="shared" si="3"/>
        <v>-</v>
      </c>
      <c r="I22" s="77">
        <f t="shared" si="4"/>
        <v>0</v>
      </c>
      <c r="S22" s="17">
        <v>0</v>
      </c>
    </row>
    <row r="23" spans="1:35" s="60" customFormat="1" hidden="1" x14ac:dyDescent="0.25">
      <c r="A23" s="57">
        <v>22</v>
      </c>
      <c r="B23" s="64" t="s">
        <v>21</v>
      </c>
      <c r="C23" s="78"/>
      <c r="D23" s="58">
        <f t="shared" si="0"/>
        <v>0</v>
      </c>
      <c r="E23" s="59">
        <f t="shared" si="1"/>
        <v>0</v>
      </c>
      <c r="F23" s="59">
        <f>HLOOKUP(B23,DIÁRIO!$B$1:$AD$38,38,FALSE)</f>
        <v>0</v>
      </c>
      <c r="G23" s="59">
        <f t="shared" si="2"/>
        <v>0</v>
      </c>
      <c r="H23" s="60" t="str">
        <f t="shared" si="3"/>
        <v>-</v>
      </c>
      <c r="I23" s="77" t="str">
        <f t="shared" si="4"/>
        <v/>
      </c>
      <c r="J23" s="61"/>
      <c r="S23" s="60">
        <v>0</v>
      </c>
    </row>
    <row r="24" spans="1:35" s="60" customFormat="1" x14ac:dyDescent="0.25">
      <c r="A24" s="18">
        <v>13</v>
      </c>
      <c r="B24" s="63" t="s">
        <v>64</v>
      </c>
      <c r="C24" s="78">
        <v>3</v>
      </c>
      <c r="D24" s="58">
        <f t="shared" si="0"/>
        <v>0.26376098961432587</v>
      </c>
      <c r="E24" s="59">
        <f t="shared" si="1"/>
        <v>5.8610000000000002E-2</v>
      </c>
      <c r="F24" s="59">
        <f>HLOOKUP(B24,DIÁRIO!$B$1:$AD$38,38,FALSE)</f>
        <v>3.4722222222222224E-2</v>
      </c>
      <c r="G24" s="59">
        <f t="shared" si="2"/>
        <v>2.3887777777777779E-2</v>
      </c>
      <c r="H24" s="60" t="str">
        <f t="shared" si="3"/>
        <v>ESTUDAR</v>
      </c>
      <c r="I24" s="77">
        <f t="shared" si="4"/>
        <v>1.7771771355779764</v>
      </c>
    </row>
    <row r="25" spans="1:35" s="60" customFormat="1" hidden="1" x14ac:dyDescent="0.25">
      <c r="A25" s="57">
        <v>23</v>
      </c>
      <c r="B25" s="64" t="s">
        <v>22</v>
      </c>
      <c r="C25" s="78"/>
      <c r="D25" s="58">
        <f t="shared" si="0"/>
        <v>0</v>
      </c>
      <c r="E25" s="59">
        <f t="shared" si="1"/>
        <v>0</v>
      </c>
      <c r="F25" s="59">
        <f>HLOOKUP(B25,DIÁRIO!$B$1:$AD$38,38,FALSE)</f>
        <v>0</v>
      </c>
      <c r="G25" s="59">
        <f t="shared" si="2"/>
        <v>0</v>
      </c>
      <c r="H25" s="60" t="str">
        <f t="shared" si="3"/>
        <v>-</v>
      </c>
      <c r="I25" s="77" t="str">
        <f t="shared" si="4"/>
        <v/>
      </c>
      <c r="S25" s="60">
        <v>0</v>
      </c>
    </row>
    <row r="26" spans="1:35" hidden="1" x14ac:dyDescent="0.25">
      <c r="A26" s="57">
        <v>24</v>
      </c>
      <c r="B26" s="64" t="s">
        <v>23</v>
      </c>
      <c r="C26" s="78"/>
      <c r="D26" s="58">
        <f t="shared" si="0"/>
        <v>0</v>
      </c>
      <c r="E26" s="59">
        <f t="shared" si="1"/>
        <v>0</v>
      </c>
      <c r="F26" s="59">
        <f>HLOOKUP(B26,DIÁRIO!$B$1:$AD$38,38,FALSE)</f>
        <v>0</v>
      </c>
      <c r="G26" s="59">
        <f t="shared" si="2"/>
        <v>0</v>
      </c>
      <c r="H26" s="60" t="str">
        <f t="shared" si="3"/>
        <v>-</v>
      </c>
      <c r="I26" s="77" t="str">
        <f t="shared" si="4"/>
        <v/>
      </c>
      <c r="J26" s="60"/>
      <c r="K26" s="60"/>
      <c r="L26" s="60"/>
      <c r="M26" s="60"/>
      <c r="N26" s="60"/>
      <c r="O26" s="60"/>
      <c r="P26" s="60"/>
      <c r="Q26" s="60"/>
      <c r="R26" s="60"/>
      <c r="S26" s="60">
        <v>0</v>
      </c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</row>
    <row r="27" spans="1:35" hidden="1" x14ac:dyDescent="0.25">
      <c r="A27" s="55">
        <v>25</v>
      </c>
      <c r="B27" s="65" t="s">
        <v>24</v>
      </c>
      <c r="C27" s="79">
        <v>1</v>
      </c>
      <c r="D27" s="58">
        <f t="shared" si="0"/>
        <v>8.7920329871441952E-2</v>
      </c>
      <c r="E27" s="59">
        <f t="shared" si="1"/>
        <v>1.9539999999999998E-2</v>
      </c>
      <c r="F27" s="59">
        <f>HLOOKUP(B27,DIÁRIO!$B$1:$AD$38,38,FALSE)</f>
        <v>0</v>
      </c>
      <c r="G27" s="59">
        <f t="shared" si="2"/>
        <v>1.9539999999999998E-2</v>
      </c>
      <c r="H27" s="60" t="str">
        <f t="shared" si="3"/>
        <v>-</v>
      </c>
      <c r="I27" s="77">
        <f t="shared" si="4"/>
        <v>0</v>
      </c>
    </row>
    <row r="28" spans="1:35" hidden="1" x14ac:dyDescent="0.25">
      <c r="A28" s="55">
        <v>26</v>
      </c>
      <c r="B28" s="65" t="s">
        <v>25</v>
      </c>
      <c r="C28" s="77">
        <v>1</v>
      </c>
      <c r="D28" s="58">
        <f t="shared" si="0"/>
        <v>8.7920329871441952E-2</v>
      </c>
      <c r="E28" s="59">
        <f t="shared" si="1"/>
        <v>1.9539999999999998E-2</v>
      </c>
      <c r="F28" s="59">
        <f>HLOOKUP(B28,DIÁRIO!$B$1:$AD$38,38,FALSE)</f>
        <v>0</v>
      </c>
      <c r="G28" s="59">
        <f t="shared" si="2"/>
        <v>1.9539999999999998E-2</v>
      </c>
      <c r="H28" s="60" t="str">
        <f t="shared" si="3"/>
        <v>-</v>
      </c>
      <c r="I28" s="77">
        <f t="shared" si="4"/>
        <v>0</v>
      </c>
    </row>
    <row r="29" spans="1:35" s="60" customFormat="1" hidden="1" x14ac:dyDescent="0.25">
      <c r="A29" s="55">
        <v>27</v>
      </c>
      <c r="B29" s="65" t="s">
        <v>26</v>
      </c>
      <c r="C29" s="77">
        <v>1</v>
      </c>
      <c r="D29" s="58">
        <f t="shared" si="0"/>
        <v>8.7920329871441952E-2</v>
      </c>
      <c r="E29" s="59">
        <f t="shared" si="1"/>
        <v>1.9539999999999998E-2</v>
      </c>
      <c r="F29" s="59">
        <f>HLOOKUP(B29,DIÁRIO!$B$1:$AD$38,38,FALSE)</f>
        <v>0</v>
      </c>
      <c r="G29" s="59">
        <f t="shared" si="2"/>
        <v>1.9539999999999998E-2</v>
      </c>
      <c r="H29" s="60" t="str">
        <f t="shared" si="3"/>
        <v>-</v>
      </c>
      <c r="I29" s="77">
        <f t="shared" si="4"/>
        <v>0</v>
      </c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</row>
    <row r="30" spans="1:35" hidden="1" x14ac:dyDescent="0.25">
      <c r="A30" s="57">
        <v>28</v>
      </c>
      <c r="B30" s="64" t="s">
        <v>27</v>
      </c>
      <c r="C30" s="78"/>
      <c r="D30" s="58"/>
      <c r="E30" s="59"/>
      <c r="F30" s="59"/>
      <c r="G30" s="59"/>
      <c r="H30" s="60"/>
      <c r="I30" s="77" t="str">
        <f t="shared" si="4"/>
        <v/>
      </c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</row>
    <row r="31" spans="1:35" hidden="1" x14ac:dyDescent="0.25">
      <c r="G31" s="17"/>
    </row>
    <row r="32" spans="1:35" hidden="1" x14ac:dyDescent="0.25">
      <c r="G32" s="17"/>
    </row>
    <row r="33" spans="7:7" hidden="1" x14ac:dyDescent="0.25">
      <c r="G33" s="17"/>
    </row>
    <row r="34" spans="7:7" hidden="1" x14ac:dyDescent="0.25">
      <c r="G34" s="17"/>
    </row>
    <row r="35" spans="7:7" hidden="1" x14ac:dyDescent="0.25">
      <c r="G35" s="17"/>
    </row>
    <row r="36" spans="7:7" hidden="1" x14ac:dyDescent="0.25">
      <c r="G36" s="17"/>
    </row>
  </sheetData>
  <autoFilter ref="A1:O36">
    <filterColumn colId="2">
      <customFilters>
        <customFilter operator="notEqual" val=" "/>
      </customFilters>
    </filterColumn>
    <filterColumn colId="7">
      <filters>
        <filter val="ESTUDAR"/>
      </filters>
    </filterColumn>
  </autoFilter>
  <sortState ref="A2:AI36">
    <sortCondition ref="B2:B36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mpo">
                <anchor moveWithCells="1" sizeWithCells="1">
                  <from>
                    <xdr:col>11</xdr:col>
                    <xdr:colOff>209550</xdr:colOff>
                    <xdr:row>0</xdr:row>
                    <xdr:rowOff>19050</xdr:rowOff>
                  </from>
                  <to>
                    <xdr:col>11</xdr:col>
                    <xdr:colOff>1314450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2"/>
  <sheetViews>
    <sheetView zoomScale="200" zoomScaleNormal="200" workbookViewId="0">
      <selection activeCell="B10" sqref="B10"/>
    </sheetView>
  </sheetViews>
  <sheetFormatPr defaultRowHeight="31.5" x14ac:dyDescent="0.5"/>
  <cols>
    <col min="1" max="1" width="9.140625" style="28"/>
    <col min="2" max="2" width="18.5703125" style="28" customWidth="1"/>
    <col min="3" max="5" width="9.140625" style="28"/>
    <col min="6" max="6" width="23.7109375" style="29" bestFit="1" customWidth="1"/>
    <col min="7" max="8" width="9.140625" style="28"/>
    <col min="9" max="9" width="18.42578125" style="28" bestFit="1" customWidth="1"/>
    <col min="10" max="16384" width="9.140625" style="28"/>
  </cols>
  <sheetData>
    <row r="1" spans="1:6" x14ac:dyDescent="0.5">
      <c r="F1" s="29">
        <v>45887</v>
      </c>
    </row>
    <row r="2" spans="1:6" x14ac:dyDescent="0.5">
      <c r="A2" s="28" t="s">
        <v>46</v>
      </c>
      <c r="B2" s="28">
        <f ca="1">IF(F1&gt;TODAY(),F1-TODAY(),"chegou")</f>
        <v>287</v>
      </c>
      <c r="C2" s="28" t="s">
        <v>47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I4"/>
  <sheetViews>
    <sheetView workbookViewId="0">
      <selection activeCell="A2" sqref="A2"/>
    </sheetView>
  </sheetViews>
  <sheetFormatPr defaultColWidth="27.140625" defaultRowHeight="15" x14ac:dyDescent="0.25"/>
  <cols>
    <col min="5" max="5" width="5" bestFit="1" customWidth="1"/>
  </cols>
  <sheetData>
    <row r="1" spans="1:9" ht="15.75" thickBot="1" x14ac:dyDescent="0.3">
      <c r="E1">
        <v>1</v>
      </c>
    </row>
    <row r="2" spans="1:9" ht="15.75" thickBot="1" x14ac:dyDescent="0.3">
      <c r="A2" s="70">
        <v>1</v>
      </c>
      <c r="B2" s="71" t="s">
        <v>59</v>
      </c>
      <c r="C2" s="71" t="s">
        <v>60</v>
      </c>
      <c r="D2" s="72">
        <v>1.2291666666666666E-2</v>
      </c>
      <c r="E2" t="str">
        <f>TEXT($E$1*100+A2,"0000")</f>
        <v>0101</v>
      </c>
      <c r="F2" t="str">
        <f>B2</f>
        <v>Introdução</v>
      </c>
      <c r="G2" t="str">
        <f>CONCATENATE(E2," - ",F2)</f>
        <v>0101 - Introdução</v>
      </c>
      <c r="I2" t="str">
        <f>CONCATENATE(TEXT(A2,"00")," - ",F2)</f>
        <v>01 - Introdução</v>
      </c>
    </row>
    <row r="3" spans="1:9" ht="15.75" thickBot="1" x14ac:dyDescent="0.3">
      <c r="A3" s="73">
        <v>2</v>
      </c>
      <c r="B3" s="74" t="s">
        <v>61</v>
      </c>
      <c r="C3" s="74" t="s">
        <v>60</v>
      </c>
      <c r="D3" s="75">
        <v>1.9849537037037037E-2</v>
      </c>
      <c r="E3" t="str">
        <f t="shared" ref="E3:E4" si="0">TEXT($E$1*100+A3,"0000")</f>
        <v>0102</v>
      </c>
      <c r="F3" t="str">
        <f t="shared" ref="F3:F4" si="1">B3</f>
        <v>Introdução II</v>
      </c>
      <c r="G3" t="str">
        <f t="shared" ref="G3:G4" si="2">CONCATENATE(E3," - ",F3)</f>
        <v>0102 - Introdução II</v>
      </c>
      <c r="I3" t="str">
        <f t="shared" ref="I3:I4" si="3">CONCATENATE(TEXT(A3,"00")," - ",F3)</f>
        <v>02 - Introdução II</v>
      </c>
    </row>
    <row r="4" spans="1:9" ht="15.75" thickBot="1" x14ac:dyDescent="0.3">
      <c r="A4" s="73">
        <v>3</v>
      </c>
      <c r="B4" s="74" t="s">
        <v>62</v>
      </c>
      <c r="C4" s="74" t="s">
        <v>60</v>
      </c>
      <c r="D4" s="75">
        <v>1.8657407407407407E-2</v>
      </c>
      <c r="E4" t="str">
        <f t="shared" si="0"/>
        <v>0103</v>
      </c>
      <c r="F4" t="str">
        <f t="shared" si="1"/>
        <v>Introdução III</v>
      </c>
      <c r="G4" t="str">
        <f t="shared" si="2"/>
        <v>0103 - Introdução III</v>
      </c>
      <c r="I4" t="str">
        <f t="shared" si="3"/>
        <v>03 - Introdução III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sqref="A1:XFD1048576"/>
    </sheetView>
  </sheetViews>
  <sheetFormatPr defaultColWidth="53.7109375" defaultRowHeight="15" x14ac:dyDescent="0.25"/>
  <cols>
    <col min="1" max="16384" width="53.7109375" style="76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E26"/>
  <sheetViews>
    <sheetView workbookViewId="0">
      <selection activeCell="A27" sqref="A27"/>
    </sheetView>
  </sheetViews>
  <sheetFormatPr defaultRowHeight="15" x14ac:dyDescent="0.25"/>
  <cols>
    <col min="1" max="1" width="9.140625" style="82"/>
    <col min="2" max="2" width="22.5703125" style="80" bestFit="1" customWidth="1"/>
    <col min="3" max="3" width="44.85546875" style="80" bestFit="1" customWidth="1"/>
    <col min="4" max="4" width="24.42578125" style="80" bestFit="1" customWidth="1"/>
    <col min="5" max="5" width="28.28515625" style="80" bestFit="1" customWidth="1"/>
    <col min="6" max="6" width="16.7109375" style="80" bestFit="1" customWidth="1"/>
    <col min="7" max="7" width="16.42578125" style="80" bestFit="1" customWidth="1"/>
    <col min="8" max="8" width="50" style="80" bestFit="1" customWidth="1"/>
    <col min="9" max="10" width="24.42578125" style="80" bestFit="1" customWidth="1"/>
    <col min="11" max="11" width="33.85546875" style="80" bestFit="1" customWidth="1"/>
    <col min="12" max="12" width="57.7109375" style="80" bestFit="1" customWidth="1"/>
    <col min="13" max="13" width="32" style="80" bestFit="1" customWidth="1"/>
    <col min="14" max="14" width="15.42578125" style="80" bestFit="1" customWidth="1"/>
    <col min="15" max="15" width="64.7109375" style="80" bestFit="1" customWidth="1"/>
    <col min="16" max="16" width="34.42578125" style="80" bestFit="1" customWidth="1"/>
    <col min="17" max="17" width="17.7109375" style="80" bestFit="1" customWidth="1"/>
    <col min="18" max="18" width="16.42578125" style="80" bestFit="1" customWidth="1"/>
    <col min="19" max="19" width="22.140625" style="80" bestFit="1" customWidth="1"/>
    <col min="20" max="20" width="21.42578125" style="80" bestFit="1" customWidth="1"/>
    <col min="21" max="21" width="15.7109375" style="80" bestFit="1" customWidth="1"/>
    <col min="22" max="22" width="20.28515625" style="80" bestFit="1" customWidth="1"/>
    <col min="23" max="23" width="16.140625" style="80" bestFit="1" customWidth="1"/>
    <col min="24" max="24" width="24.85546875" style="80" bestFit="1" customWidth="1"/>
    <col min="25" max="25" width="15.42578125" style="80" bestFit="1" customWidth="1"/>
    <col min="26" max="26" width="19.140625" style="80" bestFit="1" customWidth="1"/>
    <col min="27" max="27" width="41.42578125" style="80" bestFit="1" customWidth="1"/>
    <col min="28" max="28" width="44.7109375" style="80" bestFit="1" customWidth="1"/>
    <col min="29" max="29" width="21.5703125" style="80" bestFit="1" customWidth="1"/>
    <col min="30" max="30" width="12" style="80" bestFit="1" customWidth="1"/>
    <col min="31" max="16384" width="9.140625" style="80"/>
  </cols>
  <sheetData>
    <row r="1" spans="1:31" x14ac:dyDescent="0.25">
      <c r="A1" s="82" t="s">
        <v>0</v>
      </c>
      <c r="B1" s="80" t="s">
        <v>1</v>
      </c>
      <c r="C1" s="80" t="s">
        <v>2</v>
      </c>
      <c r="D1" s="80" t="s">
        <v>3</v>
      </c>
      <c r="E1" s="80" t="s">
        <v>4</v>
      </c>
      <c r="F1" s="80" t="s">
        <v>5</v>
      </c>
      <c r="G1" s="80" t="s">
        <v>6</v>
      </c>
      <c r="H1" s="80" t="s">
        <v>7</v>
      </c>
      <c r="I1" s="80" t="s">
        <v>8</v>
      </c>
      <c r="J1" s="80" t="s">
        <v>9</v>
      </c>
      <c r="K1" s="80" t="s">
        <v>10</v>
      </c>
      <c r="L1" s="80" t="s">
        <v>11</v>
      </c>
      <c r="M1" s="80" t="s">
        <v>12</v>
      </c>
      <c r="N1" s="80" t="s">
        <v>64</v>
      </c>
      <c r="O1" s="80" t="s">
        <v>13</v>
      </c>
      <c r="P1" s="80" t="s">
        <v>14</v>
      </c>
      <c r="Q1" s="80" t="s">
        <v>15</v>
      </c>
      <c r="R1" s="80" t="s">
        <v>16</v>
      </c>
      <c r="S1" s="80" t="s">
        <v>17</v>
      </c>
      <c r="T1" s="80" t="s">
        <v>18</v>
      </c>
      <c r="U1" s="80" t="s">
        <v>19</v>
      </c>
      <c r="V1" s="80" t="s">
        <v>20</v>
      </c>
      <c r="W1" s="80" t="s">
        <v>21</v>
      </c>
      <c r="X1" s="80" t="s">
        <v>22</v>
      </c>
      <c r="Y1" s="80" t="s">
        <v>23</v>
      </c>
      <c r="Z1" s="80" t="s">
        <v>24</v>
      </c>
      <c r="AA1" s="80" t="s">
        <v>25</v>
      </c>
      <c r="AB1" s="80" t="s">
        <v>26</v>
      </c>
      <c r="AC1" s="80" t="s">
        <v>27</v>
      </c>
      <c r="AD1" s="80" t="s">
        <v>63</v>
      </c>
      <c r="AE1" s="80" t="s">
        <v>65</v>
      </c>
    </row>
    <row r="2" spans="1:31" x14ac:dyDescent="0.25">
      <c r="A2" s="82">
        <v>45524</v>
      </c>
      <c r="AE2" s="80">
        <f>SUM(B2:AD2)</f>
        <v>0</v>
      </c>
    </row>
    <row r="3" spans="1:31" x14ac:dyDescent="0.25">
      <c r="A3" s="82">
        <v>45525</v>
      </c>
      <c r="AE3" s="80">
        <f t="shared" ref="AE3:AE25" si="0">SUM(B3:AD3)</f>
        <v>0</v>
      </c>
    </row>
    <row r="4" spans="1:31" x14ac:dyDescent="0.25">
      <c r="A4" s="82">
        <v>45526</v>
      </c>
      <c r="AE4" s="80">
        <f t="shared" si="0"/>
        <v>0</v>
      </c>
    </row>
    <row r="5" spans="1:31" x14ac:dyDescent="0.25">
      <c r="A5" s="82">
        <v>45527</v>
      </c>
      <c r="AE5" s="80">
        <f t="shared" si="0"/>
        <v>0</v>
      </c>
    </row>
    <row r="6" spans="1:31" x14ac:dyDescent="0.25">
      <c r="A6" s="82">
        <v>45528</v>
      </c>
      <c r="AD6" s="80">
        <v>2.0833333333333332E-2</v>
      </c>
      <c r="AE6" s="80">
        <f t="shared" si="0"/>
        <v>2.0833333333333332E-2</v>
      </c>
    </row>
    <row r="7" spans="1:31" x14ac:dyDescent="0.25">
      <c r="A7" s="82">
        <v>45529</v>
      </c>
      <c r="AE7" s="80">
        <f t="shared" si="0"/>
        <v>0</v>
      </c>
    </row>
    <row r="8" spans="1:31" x14ac:dyDescent="0.25">
      <c r="A8" s="82">
        <v>45530</v>
      </c>
      <c r="AD8" s="80">
        <v>4.5833333333333337E-2</v>
      </c>
      <c r="AE8" s="80">
        <f t="shared" si="0"/>
        <v>4.5833333333333337E-2</v>
      </c>
    </row>
    <row r="9" spans="1:31" x14ac:dyDescent="0.25">
      <c r="A9" s="82">
        <v>45531</v>
      </c>
      <c r="I9" s="80">
        <v>2.6388888888888889E-2</v>
      </c>
      <c r="AD9" s="80">
        <v>8.3333333333333332E-3</v>
      </c>
      <c r="AE9" s="80">
        <f t="shared" si="0"/>
        <v>3.4722222222222224E-2</v>
      </c>
    </row>
    <row r="10" spans="1:31" x14ac:dyDescent="0.25">
      <c r="A10" s="82">
        <v>45532</v>
      </c>
      <c r="J10" s="80">
        <v>1.9004629629629632E-2</v>
      </c>
      <c r="Z10" s="80">
        <v>2.2199074074074076E-2</v>
      </c>
      <c r="AE10" s="80">
        <f t="shared" si="0"/>
        <v>4.1203703703703708E-2</v>
      </c>
    </row>
    <row r="11" spans="1:31" x14ac:dyDescent="0.25">
      <c r="A11" s="82">
        <v>45533</v>
      </c>
      <c r="F11" s="80">
        <v>1.9444444444444445E-2</v>
      </c>
      <c r="U11" s="80">
        <v>2.0833333333333332E-2</v>
      </c>
      <c r="AE11" s="80">
        <f t="shared" si="0"/>
        <v>4.0277777777777773E-2</v>
      </c>
    </row>
    <row r="12" spans="1:31" x14ac:dyDescent="0.25">
      <c r="A12" s="82">
        <v>45534</v>
      </c>
      <c r="AE12" s="80">
        <f t="shared" si="0"/>
        <v>0</v>
      </c>
    </row>
    <row r="13" spans="1:31" x14ac:dyDescent="0.25">
      <c r="A13" s="82">
        <v>45535</v>
      </c>
      <c r="AE13" s="80">
        <f t="shared" si="0"/>
        <v>0</v>
      </c>
    </row>
    <row r="14" spans="1:31" x14ac:dyDescent="0.25">
      <c r="A14" s="82">
        <v>45536</v>
      </c>
      <c r="AE14" s="80">
        <f t="shared" si="0"/>
        <v>0</v>
      </c>
    </row>
    <row r="15" spans="1:31" x14ac:dyDescent="0.25">
      <c r="A15" s="82">
        <v>45537</v>
      </c>
      <c r="AE15" s="80">
        <f t="shared" si="0"/>
        <v>0</v>
      </c>
    </row>
    <row r="16" spans="1:31" x14ac:dyDescent="0.25">
      <c r="A16" s="82">
        <v>45538</v>
      </c>
      <c r="AE16" s="80">
        <f t="shared" si="0"/>
        <v>0</v>
      </c>
    </row>
    <row r="17" spans="1:31" x14ac:dyDescent="0.25">
      <c r="A17" s="82">
        <v>45539</v>
      </c>
      <c r="AE17" s="80">
        <f t="shared" si="0"/>
        <v>0</v>
      </c>
    </row>
    <row r="18" spans="1:31" x14ac:dyDescent="0.25">
      <c r="A18" s="82">
        <v>45540</v>
      </c>
      <c r="AE18" s="80">
        <f t="shared" si="0"/>
        <v>0</v>
      </c>
    </row>
    <row r="19" spans="1:31" x14ac:dyDescent="0.25">
      <c r="A19" s="82">
        <v>45541</v>
      </c>
      <c r="AE19" s="80">
        <f t="shared" si="0"/>
        <v>0</v>
      </c>
    </row>
    <row r="20" spans="1:31" x14ac:dyDescent="0.25">
      <c r="A20" s="82">
        <v>45542</v>
      </c>
      <c r="AE20" s="80">
        <f t="shared" si="0"/>
        <v>0</v>
      </c>
    </row>
    <row r="21" spans="1:31" x14ac:dyDescent="0.25">
      <c r="A21" s="82">
        <v>45543</v>
      </c>
      <c r="AE21" s="80">
        <f t="shared" si="0"/>
        <v>0</v>
      </c>
    </row>
    <row r="22" spans="1:31" x14ac:dyDescent="0.25">
      <c r="A22" s="82">
        <v>45544</v>
      </c>
      <c r="AE22" s="80">
        <f t="shared" si="0"/>
        <v>0</v>
      </c>
    </row>
    <row r="23" spans="1:31" x14ac:dyDescent="0.25">
      <c r="A23" s="82">
        <v>45545</v>
      </c>
      <c r="AE23" s="80">
        <f t="shared" si="0"/>
        <v>0</v>
      </c>
    </row>
    <row r="24" spans="1:31" x14ac:dyDescent="0.25">
      <c r="A24" s="82">
        <v>45546</v>
      </c>
      <c r="J24" s="80">
        <v>2.2708333333333334E-2</v>
      </c>
      <c r="V24" s="80">
        <v>2.361111111111111E-2</v>
      </c>
      <c r="AE24" s="80">
        <f t="shared" si="0"/>
        <v>4.6319444444444441E-2</v>
      </c>
    </row>
    <row r="25" spans="1:31" x14ac:dyDescent="0.25">
      <c r="A25" s="82">
        <v>45547</v>
      </c>
      <c r="F25" s="80">
        <v>2.2094907407407407E-2</v>
      </c>
      <c r="AE25" s="80">
        <f t="shared" si="0"/>
        <v>2.2094907407407407E-2</v>
      </c>
    </row>
    <row r="26" spans="1:31" x14ac:dyDescent="0.25">
      <c r="A26" s="83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5"/>
  <sheetViews>
    <sheetView zoomScaleNormal="100" workbookViewId="0">
      <selection activeCell="I1" sqref="I1:K14"/>
    </sheetView>
  </sheetViews>
  <sheetFormatPr defaultRowHeight="21" x14ac:dyDescent="0.35"/>
  <cols>
    <col min="1" max="1" width="9.140625" style="2"/>
    <col min="2" max="2" width="44.85546875" style="1" bestFit="1" customWidth="1"/>
    <col min="3" max="3" width="13.85546875" style="2" bestFit="1" customWidth="1"/>
    <col min="4" max="4" width="31.140625" style="2" bestFit="1" customWidth="1"/>
    <col min="5" max="5" width="9.140625" style="2"/>
    <col min="6" max="6" width="15.7109375" style="2" bestFit="1" customWidth="1"/>
    <col min="7" max="7" width="23.28515625" style="2" bestFit="1" customWidth="1"/>
    <col min="8" max="8" width="24.5703125" style="2" bestFit="1" customWidth="1"/>
    <col min="9" max="16384" width="9.140625" style="2"/>
  </cols>
  <sheetData>
    <row r="1" spans="1:11" x14ac:dyDescent="0.35">
      <c r="A1" s="5" t="s">
        <v>48</v>
      </c>
      <c r="B1" s="4" t="s">
        <v>49</v>
      </c>
      <c r="C1" s="4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7" t="s">
        <v>56</v>
      </c>
      <c r="J1" s="7" t="s">
        <v>57</v>
      </c>
      <c r="K1" s="7" t="s">
        <v>58</v>
      </c>
    </row>
    <row r="2" spans="1:11" x14ac:dyDescent="0.35">
      <c r="A2" s="2">
        <v>1</v>
      </c>
      <c r="B2" s="3" t="s">
        <v>20</v>
      </c>
      <c r="C2" s="6">
        <v>50</v>
      </c>
      <c r="D2" s="2">
        <v>15</v>
      </c>
      <c r="E2" s="2">
        <v>5</v>
      </c>
      <c r="F2" s="10">
        <f>ROUND(E2/D2,3)</f>
        <v>0.33300000000000002</v>
      </c>
      <c r="G2" s="6">
        <v>4</v>
      </c>
      <c r="H2" s="11">
        <f>ROUND(1/(1+F2),3)*D2*C2*G2</f>
        <v>2250</v>
      </c>
      <c r="I2" s="8">
        <v>0.02</v>
      </c>
      <c r="J2" s="8">
        <v>0.01</v>
      </c>
      <c r="K2" s="9">
        <f>I2-J2</f>
        <v>0.01</v>
      </c>
    </row>
    <row r="3" spans="1:11" x14ac:dyDescent="0.35">
      <c r="A3" s="2">
        <v>2</v>
      </c>
      <c r="B3" s="3" t="s">
        <v>19</v>
      </c>
      <c r="C3" s="6">
        <v>50</v>
      </c>
      <c r="D3" s="2">
        <v>5</v>
      </c>
      <c r="E3" s="2">
        <v>1</v>
      </c>
      <c r="F3" s="10">
        <f t="shared" ref="F3:F14" si="0">ROUND(E3/D3,3)</f>
        <v>0.2</v>
      </c>
      <c r="G3" s="6">
        <v>4</v>
      </c>
      <c r="H3" s="11">
        <f t="shared" ref="H3:H14" si="1">ROUND(1/(1+F3),3)*D3*C3*G3</f>
        <v>833</v>
      </c>
      <c r="I3" s="8">
        <v>0.01</v>
      </c>
      <c r="J3" s="8">
        <v>0</v>
      </c>
      <c r="K3" s="9">
        <f t="shared" ref="K3:K14" si="2">I3-J3</f>
        <v>0.01</v>
      </c>
    </row>
    <row r="4" spans="1:11" x14ac:dyDescent="0.35">
      <c r="A4" s="2">
        <v>3</v>
      </c>
      <c r="B4" s="3" t="s">
        <v>9</v>
      </c>
      <c r="C4" s="6">
        <v>50</v>
      </c>
      <c r="D4" s="2">
        <v>10</v>
      </c>
      <c r="E4" s="2">
        <v>4</v>
      </c>
      <c r="F4" s="10">
        <f t="shared" si="0"/>
        <v>0.4</v>
      </c>
      <c r="G4" s="6">
        <v>6</v>
      </c>
      <c r="H4" s="11">
        <f t="shared" si="1"/>
        <v>2142</v>
      </c>
      <c r="I4" s="8">
        <v>0.14000000000000001</v>
      </c>
      <c r="J4" s="8">
        <v>0.13</v>
      </c>
      <c r="K4" s="9">
        <f t="shared" si="2"/>
        <v>1.0000000000000009E-2</v>
      </c>
    </row>
    <row r="5" spans="1:11" x14ac:dyDescent="0.35">
      <c r="A5" s="2">
        <v>4</v>
      </c>
      <c r="B5" s="1" t="s">
        <v>8</v>
      </c>
      <c r="C5" s="6">
        <v>50</v>
      </c>
      <c r="D5" s="2">
        <v>10</v>
      </c>
      <c r="E5" s="2">
        <v>3</v>
      </c>
      <c r="F5" s="10">
        <f t="shared" si="0"/>
        <v>0.3</v>
      </c>
      <c r="G5" s="6">
        <v>10</v>
      </c>
      <c r="H5" s="11">
        <f t="shared" si="1"/>
        <v>3845</v>
      </c>
      <c r="I5" s="8">
        <v>0.04</v>
      </c>
      <c r="J5" s="8">
        <v>0.02</v>
      </c>
      <c r="K5" s="9">
        <f t="shared" si="2"/>
        <v>0.02</v>
      </c>
    </row>
    <row r="6" spans="1:11" x14ac:dyDescent="0.35">
      <c r="A6" s="2">
        <v>5</v>
      </c>
      <c r="B6" s="3" t="s">
        <v>24</v>
      </c>
      <c r="C6" s="6">
        <v>50</v>
      </c>
      <c r="D6" s="2">
        <v>10</v>
      </c>
      <c r="E6" s="2">
        <v>8</v>
      </c>
      <c r="F6" s="10">
        <f t="shared" si="0"/>
        <v>0.8</v>
      </c>
      <c r="G6" s="6">
        <v>2</v>
      </c>
      <c r="H6" s="11">
        <f t="shared" si="1"/>
        <v>556</v>
      </c>
      <c r="I6" s="8">
        <v>0.11</v>
      </c>
      <c r="J6" s="8">
        <v>0.08</v>
      </c>
      <c r="K6" s="9">
        <f t="shared" si="2"/>
        <v>0.03</v>
      </c>
    </row>
    <row r="7" spans="1:11" x14ac:dyDescent="0.35">
      <c r="A7" s="2">
        <v>6</v>
      </c>
      <c r="B7" s="3" t="s">
        <v>17</v>
      </c>
      <c r="C7" s="6">
        <v>50</v>
      </c>
      <c r="D7" s="2">
        <v>10</v>
      </c>
      <c r="E7" s="2">
        <v>3</v>
      </c>
      <c r="F7" s="10">
        <f t="shared" si="0"/>
        <v>0.3</v>
      </c>
      <c r="G7" s="6">
        <v>2</v>
      </c>
      <c r="H7" s="11">
        <f t="shared" si="1"/>
        <v>769</v>
      </c>
      <c r="I7" s="8">
        <v>0.03</v>
      </c>
      <c r="J7" s="8">
        <v>0</v>
      </c>
      <c r="K7" s="9">
        <f t="shared" si="2"/>
        <v>0.03</v>
      </c>
    </row>
    <row r="8" spans="1:11" x14ac:dyDescent="0.35">
      <c r="A8" s="2">
        <v>7</v>
      </c>
      <c r="B8" s="3" t="s">
        <v>26</v>
      </c>
      <c r="C8" s="6">
        <f>52.5/70*100</f>
        <v>75</v>
      </c>
      <c r="D8" s="2">
        <v>25</v>
      </c>
      <c r="E8" s="2">
        <v>14</v>
      </c>
      <c r="F8" s="10">
        <f t="shared" si="0"/>
        <v>0.56000000000000005</v>
      </c>
      <c r="G8" s="6">
        <v>1</v>
      </c>
      <c r="H8" s="11">
        <f t="shared" si="1"/>
        <v>1201.875</v>
      </c>
      <c r="I8" s="8">
        <v>0.15</v>
      </c>
      <c r="J8" s="8">
        <v>0.15</v>
      </c>
      <c r="K8" s="9">
        <f t="shared" si="2"/>
        <v>0</v>
      </c>
    </row>
    <row r="9" spans="1:11" x14ac:dyDescent="0.35">
      <c r="A9" s="2">
        <v>8</v>
      </c>
      <c r="B9" s="1" t="s">
        <v>25</v>
      </c>
      <c r="C9" s="6">
        <v>75</v>
      </c>
      <c r="D9" s="2">
        <v>4</v>
      </c>
      <c r="E9" s="2">
        <v>0</v>
      </c>
      <c r="F9" s="10">
        <f t="shared" si="0"/>
        <v>0</v>
      </c>
      <c r="G9" s="6">
        <v>1</v>
      </c>
      <c r="H9" s="11">
        <f t="shared" si="1"/>
        <v>300</v>
      </c>
      <c r="I9" s="8">
        <v>0.2</v>
      </c>
      <c r="J9" s="8">
        <v>0.2</v>
      </c>
      <c r="K9" s="9">
        <f t="shared" si="2"/>
        <v>0</v>
      </c>
    </row>
    <row r="10" spans="1:11" x14ac:dyDescent="0.35">
      <c r="A10" s="2">
        <v>9</v>
      </c>
      <c r="B10" s="3" t="s">
        <v>6</v>
      </c>
      <c r="C10" s="6">
        <v>75</v>
      </c>
      <c r="D10" s="2">
        <v>25</v>
      </c>
      <c r="E10" s="2">
        <v>14</v>
      </c>
      <c r="F10" s="10">
        <f t="shared" si="0"/>
        <v>0.56000000000000005</v>
      </c>
      <c r="G10" s="6">
        <v>1</v>
      </c>
      <c r="H10" s="11">
        <f t="shared" si="1"/>
        <v>1201.875</v>
      </c>
      <c r="I10" s="8">
        <f>I8</f>
        <v>0.15</v>
      </c>
      <c r="J10" s="8">
        <f>J8</f>
        <v>0.15</v>
      </c>
      <c r="K10" s="9">
        <f t="shared" si="2"/>
        <v>0</v>
      </c>
    </row>
    <row r="11" spans="1:11" x14ac:dyDescent="0.35">
      <c r="A11" s="2">
        <v>10</v>
      </c>
      <c r="B11" s="3" t="s">
        <v>5</v>
      </c>
      <c r="C11" s="6">
        <v>75</v>
      </c>
      <c r="D11" s="2">
        <v>5</v>
      </c>
      <c r="E11" s="2">
        <v>2</v>
      </c>
      <c r="F11" s="10">
        <f t="shared" si="0"/>
        <v>0.4</v>
      </c>
      <c r="G11" s="6">
        <v>4</v>
      </c>
      <c r="H11" s="11">
        <f t="shared" si="1"/>
        <v>1071</v>
      </c>
      <c r="I11" s="8">
        <v>0.1</v>
      </c>
      <c r="J11" s="8">
        <v>7.0000000000000007E-2</v>
      </c>
      <c r="K11" s="9">
        <f t="shared" si="2"/>
        <v>0.03</v>
      </c>
    </row>
    <row r="12" spans="1:11" x14ac:dyDescent="0.35">
      <c r="A12" s="2">
        <v>11</v>
      </c>
      <c r="B12" s="3" t="s">
        <v>1</v>
      </c>
      <c r="C12" s="6">
        <v>75</v>
      </c>
      <c r="D12" s="2">
        <v>25</v>
      </c>
      <c r="E12" s="2">
        <v>11</v>
      </c>
      <c r="F12" s="10">
        <f t="shared" si="0"/>
        <v>0.44</v>
      </c>
      <c r="G12" s="6">
        <v>4</v>
      </c>
      <c r="H12" s="11">
        <f t="shared" si="1"/>
        <v>5204.9999999999991</v>
      </c>
      <c r="I12" s="8">
        <v>0.02</v>
      </c>
      <c r="J12" s="8">
        <v>0.01</v>
      </c>
      <c r="K12" s="9">
        <f t="shared" si="2"/>
        <v>0.01</v>
      </c>
    </row>
    <row r="13" spans="1:11" x14ac:dyDescent="0.35">
      <c r="A13" s="2">
        <v>12</v>
      </c>
      <c r="B13" s="1" t="s">
        <v>3</v>
      </c>
      <c r="C13" s="6">
        <v>75</v>
      </c>
      <c r="D13" s="2">
        <v>25</v>
      </c>
      <c r="E13" s="2">
        <v>11</v>
      </c>
      <c r="F13" s="10">
        <f t="shared" si="0"/>
        <v>0.44</v>
      </c>
      <c r="G13" s="6">
        <v>4</v>
      </c>
      <c r="H13" s="11">
        <f t="shared" si="1"/>
        <v>5204.9999999999991</v>
      </c>
      <c r="I13" s="8">
        <v>0.14000000000000001</v>
      </c>
      <c r="J13" s="8">
        <v>0.14000000000000001</v>
      </c>
      <c r="K13" s="9">
        <f t="shared" si="2"/>
        <v>0</v>
      </c>
    </row>
    <row r="14" spans="1:11" x14ac:dyDescent="0.35">
      <c r="A14" s="2">
        <v>13</v>
      </c>
      <c r="B14" s="3" t="s">
        <v>2</v>
      </c>
      <c r="C14" s="6">
        <v>75</v>
      </c>
      <c r="D14" s="2">
        <v>10</v>
      </c>
      <c r="E14" s="2">
        <v>2</v>
      </c>
      <c r="F14" s="10">
        <f t="shared" si="0"/>
        <v>0.2</v>
      </c>
      <c r="G14" s="6">
        <v>4</v>
      </c>
      <c r="H14" s="11">
        <f t="shared" si="1"/>
        <v>2499</v>
      </c>
      <c r="I14" s="8">
        <v>0.05</v>
      </c>
      <c r="J14" s="8">
        <v>0.04</v>
      </c>
      <c r="K14" s="9">
        <f t="shared" si="2"/>
        <v>1.0000000000000002E-2</v>
      </c>
    </row>
    <row r="15" spans="1:11" x14ac:dyDescent="0.35">
      <c r="B15" s="3"/>
    </row>
  </sheetData>
  <sortState ref="A2:D16">
    <sortCondition ref="A2:A16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DIÁRIO</vt:lpstr>
      <vt:lpstr>RESUMO</vt:lpstr>
      <vt:lpstr>Planilha1</vt:lpstr>
      <vt:lpstr>converter</vt:lpstr>
      <vt:lpstr>Planilha3</vt:lpstr>
      <vt:lpstr>HISTÓRICOO</vt:lpstr>
      <vt:lpstr>concurso deputados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Rubens Gigante</dc:creator>
  <cp:keywords/>
  <dc:description/>
  <cp:lastModifiedBy>Rubens Gigante</cp:lastModifiedBy>
  <cp:revision/>
  <dcterms:created xsi:type="dcterms:W3CDTF">2023-09-03T16:10:23Z</dcterms:created>
  <dcterms:modified xsi:type="dcterms:W3CDTF">2024-11-05T00:58:16Z</dcterms:modified>
  <cp:category/>
  <cp:contentStatus/>
</cp:coreProperties>
</file>